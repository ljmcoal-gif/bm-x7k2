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  <sheet name="Multipl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<sst xmlns="http://schemas.openxmlformats.org/spreadsheetml/2006/main" count="550" uniqueCount="347">
  <si>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</si>
  <si>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</si>
  <si>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</si>
  <si>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</si>
  <si>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</si>
  <si>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</si>
  <si>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</si>
  <si>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</si>
  <si>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</si>
  <si>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</si>
  <si>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</si>
  <si>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</si>
  <si>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</si>
  <si>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</si>
  <si>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</si>
  <si>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</si>
  <si>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</si>
  <si>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</si>
  <si>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</si>
  <si>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</si>
  <si>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</si>
  <si>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</si>
  <si>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</si>
  <si>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</si>
  <si>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</si>
  <si>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</si>
  <si>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</si>
  <si>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</si>
  <si>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</si>
  <si>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</si>
  <si>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</si>
  <si>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</si>
  <si>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</si>
  <si>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</si>
  <si>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</si>
  <si>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</si>
  <si>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</si>
  <si>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</si>
  <si>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</si>
  <si>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</si>
  <si>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</si>
  <si>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</si>
  <si>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</si>
  <si>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</si>
  <si>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</si>
  <si>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</si>
  <si>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</si>
  <si>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</si>
  <si>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</si>
  <si>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</si>
  <si>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</si>
  <si>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</si>
  <si>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</si>
  <si>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</si>
  <si>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</si>
  <si>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</si>
  <si>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</si>
  <si>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</si>
  <si>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</si>
  <si>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</si>
  <si>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</si>
  <si>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</si>
  <si>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</si>
  <si>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</si>
  <si>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</si>
  <si>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</si>
  <si>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</si>
  <si>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</si>
  <si>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</si>
  <si>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</si>
  <si>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</si>
  <si>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</si>
  <si>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</si>
  <si>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</si>
  <si>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</si>
  <si>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</si>
  <si>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</si>
  <si>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</si>
  <si>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</si>
  <si>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</si>
  <si>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</si>
  <si>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</si>
  <si>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</si>
  <si>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</si>
  <si>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</si>
  <si>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</si>
  <si>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</si>
  <si>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</si>
  <si>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</si>
  <si>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</si>
  <si>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</si>
  <si>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</si>
  <si>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</si>
  <si>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</si>
  <si>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</si>
  <si>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</si>
  <si>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</si>
  <si>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</si>
  <si>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</si>
  <si>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</si>
  <si>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</si>
  <si>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</si>
  <si>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</si>
  <si>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</si>
  <si>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</si>
  <si>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</si>
  <si>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</si>
  <si>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</si>
  <si>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</si>
  <si>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</si>
  <si>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</si>
  <si>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</si>
  <si>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</si>
  <si>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</si>
  <si>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</si>
  <si>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</si>
  <si>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</si>
  <si>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</si>
  <si>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</si>
  <si>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</si>
  <si>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</si>
  <si>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</si>
  <si>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</si>
  <si>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</si>
  <si>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</si>
  <si>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</si>
  <si>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</si>
  <si>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</si>
  <si>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</si>
  <si>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</si>
  <si>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</si>
  <si>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</si>
  <si>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</si>
  <si>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</si>
  <si>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</si>
  <si>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</si>
  <si>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</si>
  <si>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</si>
  <si>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</si>
  <si>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(BA </t>
    </r>
    <r>
      <rPr>
        <i val="true"/>
        <sz val="8"/>
        <color rgb="FF8C8473"/>
        <rFont val="WenQuanYi Zen Hei"/>
        <family val="2"/>
      </rPr>
      <t xml:space="preserve">일괄조달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</si>
  <si>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</si>
  <si>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</si>
  <si>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</si>
  <si>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</si>
  <si>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</si>
  <si>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</si>
  <si>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</si>
  <si>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</si>
  <si>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</si>
  <si>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</si>
  <si>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</si>
  <si>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</si>
  <si>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</si>
  <si>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</si>
  <si>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</si>
  <si>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</si>
  <si>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</si>
  <si>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</si>
  <si>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</si>
  <si>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</si>
  <si>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</si>
  <si>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</si>
  <si>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</si>
  <si>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</si>
  <si>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</si>
  <si>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</si>
  <si>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</si>
  <si>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</si>
  <si>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</si>
  <si>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</si>
  <si>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</si>
  <si>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</si>
  <si>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</si>
  <si>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</si>
  <si>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</si>
  <si>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</si>
  <si>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</si>
  <si>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</si>
  <si>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</si>
  <si>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</si>
  <si>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</si>
  <si>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</si>
  <si>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</rPr>
      <t xml:space="preserve">보정 </t>
    </r>
    <r>
      <rPr>
        <sz val="10"/>
        <color rgb="FF000000"/>
        <rFont val="Arial"/>
        <family val="0"/>
        <charset val="1"/>
      </rPr>
      <t xml:space="preserve">(pre-SOP)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</si>
  <si>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</si>
  <si>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</si>
  <si>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</si>
  <si>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</si>
  <si>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</si>
  <si>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</si>
  <si>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</si>
  <si>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</si>
  <si>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</si>
  <si>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</si>
  <si>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</si>
  <si>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</si>
  <si>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</si>
  <si>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</si>
  <si>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</si>
  <si>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</si>
  <si>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</si>
  <si>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</si>
  <si>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</si>
  <si>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</si>
  <si>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</si>
  <si>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</si>
  <si>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</si>
  <si>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</si>
  <si>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</si>
  <si>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</si>
  <si>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</si>
  <si>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</si>
  <si>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</si>
  <si>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</si>
  <si>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</si>
  <si>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</si>
  <si>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</si>
  <si>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</si>
  <si>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</si>
  <si>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</si>
  <si>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</si>
  <si>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</si>
  <si>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</si>
  <si>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</si>
  <si>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</si>
  <si>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</si>
  <si>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</si>
  <si>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</si>
  <si>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</si>
  <si>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</si>
  <si>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</si>
  <si>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</si>
  <si>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</si>
  <si>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</si>
  <si>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</si>
  <si>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</si>
  <si>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</si>
  <si>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</si>
  <si>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</si>
  <si>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</si>
  <si>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</si>
  <si>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</si>
  <si>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</si>
  <si>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</si>
  <si>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</si>
  <si>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</si>
  <si>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</si>
  <si>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</si>
  <si>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</si>
  <si>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</si>
  <si>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</si>
  <si>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</si>
  <si>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</si>
  <si>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</si>
  <si>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</si>
  <si>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</si>
  <si>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</si>
  <si>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</si>
  <si>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</si>
  <si>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</si>
  <si>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</si>
  <si>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</si>
  <si>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</si>
  <si>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</si>
  <si>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</si>
  <si>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</si>
  <si>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</si>
  <si>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</si>
  <si>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</si>
  <si>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</si>
  <si>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</si>
  <si>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</si>
  <si>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</si>
  <si>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</si>
  <si>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</si>
  <si>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</si>
  <si>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</si>
  <si>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</si>
  <si>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</si>
  <si>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</si>
  <si>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</si>
  <si>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</si>
  <si>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</si>
  <si>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</si>
  <si>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</si>
  <si>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</si>
  <si>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5"/>
        <color rgb="FF1B1714"/>
        <rFont val="Arial"/>
        <family val="0"/>
        <charset val="1"/>
      </rPr>
      <t xml:space="preserve">MULTIPLES — EV/EBITDA </t>
    </r>
    <r>
      <rPr>
        <b val="true"/>
        <sz val="15"/>
        <color rgb="FF1B1714"/>
        <rFont val="WenQuanYi Zen Hei"/>
        <family val="2"/>
      </rPr>
      <t xml:space="preserve">계산 </t>
    </r>
    <r>
      <rPr>
        <b val="true"/>
        <sz val="15"/>
        <color rgb="FF1B1714"/>
        <rFont val="Arial"/>
        <family val="0"/>
        <charset val="1"/>
      </rPr>
      <t xml:space="preserve">(</t>
    </r>
    <r>
      <rPr>
        <b val="true"/>
        <sz val="15"/>
        <color rgb="FF1B1714"/>
        <rFont val="WenQuanYi Zen Hei"/>
        <family val="2"/>
      </rPr>
      <t xml:space="preserve">덱 </t>
    </r>
    <r>
      <rPr>
        <b val="true"/>
        <sz val="15"/>
        <color rgb="FF1B1714"/>
        <rFont val="Arial"/>
        <family val="0"/>
        <charset val="1"/>
      </rPr>
      <t xml:space="preserve">P5 </t>
    </r>
    <r>
      <rPr>
        <b val="true"/>
        <sz val="15"/>
        <color rgb="FF1B1714"/>
        <rFont val="WenQuanYi Zen Hei"/>
        <family val="2"/>
      </rPr>
      <t xml:space="preserve">연동</t>
    </r>
    <r>
      <rPr>
        <b val="true"/>
        <sz val="15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</si>
  <si>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파란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</rPr>
      <t xml:space="preserve">입력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나머지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</rPr>
      <t xml:space="preserve">수식</t>
    </r>
    <r>
      <rPr>
        <sz val="9"/>
        <color rgb="FF8C8473"/>
        <rFont val="Arial"/>
        <family val="0"/>
        <charset val="1"/>
      </rPr>
      <t xml:space="preserve">(Consolidated·Assumptions </t>
    </r>
    <r>
      <rPr>
        <sz val="9"/>
        <color rgb="FF8C8473"/>
        <rFont val="WenQuanYi Zen Hei"/>
        <family val="2"/>
      </rPr>
      <t xml:space="preserve">참조</t>
    </r>
    <r>
      <rPr>
        <sz val="9"/>
        <color rgb="FF8C8473"/>
        <rFont val="Arial"/>
        <family val="0"/>
        <charset val="1"/>
      </rPr>
      <t xml:space="preserve">) · run-rate = 2030–32 </t>
    </r>
    <r>
      <rPr>
        <sz val="9"/>
        <color rgb="FF8C8473"/>
        <rFont val="WenQuanYi Zen Hei"/>
        <family val="2"/>
      </rPr>
      <t xml:space="preserve">평균 </t>
    </r>
    <r>
      <rPr>
        <sz val="9"/>
        <color rgb="FF8C8473"/>
        <rFont val="Arial"/>
        <family val="0"/>
        <charset val="1"/>
      </rPr>
      <t xml:space="preserve">ex-AMPC</t>
    </r>
  </si>
  <si>
    <r>
      <rPr>
        <b val="true"/>
        <sz val="10"/>
        <color rgb="FFFFFFFF"/>
        <rFont val="Arial"/>
        <family val="0"/>
        <charset val="1"/>
      </rPr>
      <t xml:space="preserve">1 · EBITDA </t>
    </r>
    <r>
      <rPr>
        <b val="true"/>
        <sz val="10"/>
        <color rgb="FFFFFFFF"/>
        <rFont val="WenQuanYi Zen Hei"/>
        <family val="2"/>
      </rPr>
      <t xml:space="preserve">기준 </t>
    </r>
    <r>
      <rPr>
        <b val="true"/>
        <sz val="10"/>
        <color rgb="FFFFFFFF"/>
        <rFont val="Arial"/>
        <family val="0"/>
        <charset val="1"/>
      </rPr>
      <t xml:space="preserve">&amp; DCF </t>
    </r>
    <r>
      <rPr>
        <b val="true"/>
        <sz val="10"/>
        <color rgb="FFFFFFFF"/>
        <rFont val="WenQuanYi Zen Hei"/>
        <family val="2"/>
      </rPr>
      <t xml:space="preserve">내재 멀티플</t>
    </r>
  </si>
  <si>
    <t xml:space="preserve">run-rate ex-AMPC EBITDA (2030–32)</t>
  </si>
  <si>
    <t xml:space="preserve">2029E forward ex-AMPC EBITDA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</si>
  <si>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(2030–32)</t>
    </r>
  </si>
  <si>
    <t xml:space="preserve">DCF EV</t>
  </si>
  <si>
    <r>
      <rPr>
        <sz val="10"/>
        <color rgb="FF000000"/>
        <rFont val="WenQuanYi Zen Hei"/>
        <family val="2"/>
      </rPr>
      <t xml:space="preserve">순차입금 </t>
    </r>
    <r>
      <rPr>
        <sz val="10"/>
        <color rgb="FF000000"/>
        <rFont val="Arial"/>
        <family val="0"/>
        <charset val="1"/>
      </rPr>
      <t xml:space="preserve">(BA 3.7 + OT 2.6)</t>
    </r>
  </si>
  <si>
    <r>
      <rPr>
        <b val="true"/>
        <sz val="10"/>
        <color rgb="FF1B1714"/>
        <rFont val="Arial"/>
        <family val="0"/>
        <charset val="1"/>
      </rPr>
      <t xml:space="preserve">DCF </t>
    </r>
    <r>
      <rPr>
        <b val="true"/>
        <sz val="10"/>
        <color rgb="FF1B1714"/>
        <rFont val="WenQuanYi Zen Hei"/>
        <family val="2"/>
      </rPr>
      <t xml:space="preserve">내재 멀티플 — </t>
    </r>
    <r>
      <rPr>
        <b val="true"/>
        <sz val="10"/>
        <color rgb="FF1B1714"/>
        <rFont val="Arial"/>
        <family val="0"/>
        <charset val="1"/>
      </rPr>
      <t xml:space="preserve">run-rate</t>
    </r>
  </si>
  <si>
    <r>
      <rPr>
        <sz val="10"/>
        <color rgb="FFC1121F"/>
        <rFont val="Arial"/>
        <family val="0"/>
        <charset val="1"/>
      </rPr>
      <t xml:space="preserve">DCF </t>
    </r>
    <r>
      <rPr>
        <sz val="10"/>
        <color rgb="FFC1121F"/>
        <rFont val="WenQuanYi Zen Hei"/>
        <family val="2"/>
      </rPr>
      <t xml:space="preserve">내재 멀티플 — </t>
    </r>
    <r>
      <rPr>
        <sz val="10"/>
        <color rgb="FFC1121F"/>
        <rFont val="Arial"/>
        <family val="0"/>
        <charset val="1"/>
      </rPr>
      <t xml:space="preserve">2029E</t>
    </r>
  </si>
  <si>
    <r>
      <rPr>
        <b val="true"/>
        <sz val="10"/>
        <color rgb="FFFFFFFF"/>
        <rFont val="Arial"/>
        <family val="0"/>
        <charset val="1"/>
      </rPr>
      <t xml:space="preserve">2 · Peer </t>
    </r>
    <r>
      <rPr>
        <b val="true"/>
        <sz val="10"/>
        <color rgb="FFFFFFFF"/>
        <rFont val="WenQuanYi Zen Hei"/>
        <family val="2"/>
      </rPr>
      <t xml:space="preserve">컴프스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실측 </t>
    </r>
    <r>
      <rPr>
        <b val="true"/>
        <sz val="10"/>
        <color rgb="FFFFFFFF"/>
        <rFont val="Arial"/>
        <family val="0"/>
        <charset val="1"/>
      </rPr>
      <t xml:space="preserve">forward EV/EBITDA · </t>
    </r>
    <r>
      <rPr>
        <b val="true"/>
        <sz val="10"/>
        <color rgb="FFFFFFFF"/>
        <rFont val="WenQuanYi Zen Hei"/>
        <family val="2"/>
      </rPr>
      <t xml:space="preserve">입력 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</si>
  <si>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회사</t>
  </si>
  <si>
    <t xml:space="preserve">EV/EBITDA</t>
  </si>
  <si>
    <t xml:space="preserve">비고</t>
  </si>
  <si>
    <r>
      <rPr>
        <sz val="10"/>
        <color rgb="FF000000"/>
        <rFont val="Arial"/>
        <family val="0"/>
        <charset val="1"/>
      </rPr>
      <t xml:space="preserve">LG</t>
    </r>
    <r>
      <rPr>
        <sz val="10"/>
        <color rgb="FF000000"/>
        <rFont val="WenQuanYi Zen Hei"/>
        <family val="2"/>
      </rPr>
      <t xml:space="preserve">에너지솔루션</t>
    </r>
  </si>
  <si>
    <t xml:space="preserve">'26F (→15x '27F)</t>
  </si>
  <si>
    <t xml:space="preserve">CATL</t>
  </si>
  <si>
    <r>
      <rPr>
        <i val="true"/>
        <sz val="8"/>
        <color rgb="FF8C8473"/>
        <rFont val="Arial"/>
        <family val="0"/>
        <charset val="1"/>
      </rPr>
      <t xml:space="preserve">PE 22.5x·</t>
    </r>
    <r>
      <rPr>
        <i val="true"/>
        <sz val="8"/>
        <color rgb="FF8C8473"/>
        <rFont val="WenQuanYi Zen Hei"/>
        <family val="2"/>
      </rPr>
      <t xml:space="preserve">최고수익</t>
    </r>
  </si>
  <si>
    <r>
      <rPr>
        <sz val="10"/>
        <color rgb="FF000000"/>
        <rFont val="WenQuanYi Zen Hei"/>
        <family val="2"/>
      </rPr>
      <t xml:space="preserve">삼성</t>
    </r>
    <r>
      <rPr>
        <sz val="10"/>
        <color rgb="FF000000"/>
        <rFont val="Arial"/>
        <family val="0"/>
        <charset val="1"/>
      </rPr>
      <t xml:space="preserve">SDI</t>
    </r>
  </si>
  <si>
    <t xml:space="preserve">n.m.</t>
  </si>
  <si>
    <r>
      <rPr>
        <i val="true"/>
        <sz val="8"/>
        <color rgb="FF8C8473"/>
        <rFont val="Arial"/>
        <family val="0"/>
        <charset val="1"/>
      </rPr>
      <t xml:space="preserve">n.m. EBITDA </t>
    </r>
    <r>
      <rPr>
        <i val="true"/>
        <sz val="8"/>
        <color rgb="FF8C8473"/>
        <rFont val="WenQuanYi Zen Hei"/>
        <family val="2"/>
      </rPr>
      <t xml:space="preserve">적자근접</t>
    </r>
  </si>
  <si>
    <t xml:space="preserve">Fluence</t>
  </si>
  <si>
    <t xml:space="preserve">n.m. adjEBITDA $40~60M</t>
  </si>
  <si>
    <r>
      <rPr>
        <sz val="10"/>
        <color rgb="FF000000"/>
        <rFont val="WenQuanYi Zen Hei"/>
        <family val="2"/>
      </rPr>
      <t xml:space="preserve">정상화 밴드 </t>
    </r>
    <r>
      <rPr>
        <sz val="10"/>
        <color rgb="FF000000"/>
        <rFont val="Arial"/>
        <family val="0"/>
        <charset val="1"/>
      </rPr>
      <t xml:space="preserve">lo ★</t>
    </r>
  </si>
  <si>
    <r>
      <rPr>
        <i val="true"/>
        <sz val="8"/>
        <color rgb="FF8C8473"/>
        <rFont val="Arial"/>
        <family val="0"/>
        <charset val="1"/>
      </rPr>
      <t xml:space="preserve">mid-cycle </t>
    </r>
    <r>
      <rPr>
        <i val="true"/>
        <sz val="8"/>
        <color rgb="FF8C8473"/>
        <rFont val="WenQuanYi Zen Hei"/>
        <family val="2"/>
      </rPr>
      <t xml:space="preserve">비교기준</t>
    </r>
  </si>
  <si>
    <r>
      <rPr>
        <sz val="10"/>
        <color rgb="FF000000"/>
        <rFont val="WenQuanYi Zen Hei"/>
        <family val="2"/>
      </rPr>
      <t xml:space="preserve">정상화 밴드 </t>
    </r>
    <r>
      <rPr>
        <sz val="10"/>
        <color rgb="FF000000"/>
        <rFont val="Arial"/>
        <family val="0"/>
        <charset val="1"/>
      </rPr>
      <t xml:space="preserve">hi ★</t>
    </r>
  </si>
  <si>
    <t xml:space="preserve">mid-cycle</t>
  </si>
  <si>
    <r>
      <rPr>
        <sz val="10"/>
        <color rgb="FF000000"/>
        <rFont val="WenQuanYi Zen Hei"/>
        <family val="2"/>
      </rPr>
      <t xml:space="preserve">보수 </t>
    </r>
    <r>
      <rPr>
        <sz val="10"/>
        <color rgb="FF000000"/>
        <rFont val="Arial"/>
        <family val="0"/>
        <charset val="1"/>
      </rPr>
      <t xml:space="preserve">lo</t>
    </r>
  </si>
  <si>
    <t xml:space="preserve">floor</t>
  </si>
  <si>
    <r>
      <rPr>
        <sz val="10"/>
        <color rgb="FF000000"/>
        <rFont val="WenQuanYi Zen Hei"/>
        <family val="2"/>
      </rPr>
      <t xml:space="preserve">보수 </t>
    </r>
    <r>
      <rPr>
        <sz val="10"/>
        <color rgb="FF000000"/>
        <rFont val="Arial"/>
        <family val="0"/>
        <charset val="1"/>
      </rPr>
      <t xml:space="preserve">hi</t>
    </r>
  </si>
  <si>
    <r>
      <rPr>
        <i val="true"/>
        <sz val="8"/>
        <color rgb="FFC1121F"/>
        <rFont val="Arial"/>
        <family val="0"/>
        <charset val="1"/>
      </rPr>
      <t xml:space="preserve">※ peer EBITDA</t>
    </r>
    <r>
      <rPr>
        <i val="true"/>
        <sz val="8"/>
        <color rgb="FFC1121F"/>
        <rFont val="WenQuanYi Zen Hei"/>
        <family val="2"/>
      </rPr>
      <t xml:space="preserve">엔 자체 보조금 포함 → 우리 </t>
    </r>
    <r>
      <rPr>
        <i val="true"/>
        <sz val="8"/>
        <color rgb="FFC1121F"/>
        <rFont val="Arial"/>
        <family val="0"/>
        <charset val="1"/>
      </rPr>
      <t xml:space="preserve">ex-AMPC</t>
    </r>
    <r>
      <rPr>
        <i val="true"/>
        <sz val="8"/>
        <color rgb="FFC1121F"/>
        <rFont val="WenQuanYi Zen Hei"/>
        <family val="2"/>
      </rPr>
      <t xml:space="preserve">와 </t>
    </r>
    <r>
      <rPr>
        <i val="true"/>
        <sz val="8"/>
        <color rgb="FFC1121F"/>
        <rFont val="Arial"/>
        <family val="0"/>
        <charset val="1"/>
      </rPr>
      <t xml:space="preserve">apples-to-apples </t>
    </r>
    <r>
      <rPr>
        <i val="true"/>
        <sz val="8"/>
        <color rgb="FFC1121F"/>
        <rFont val="WenQuanYi Zen Hei"/>
        <family val="2"/>
      </rPr>
      <t xml:space="preserve">아님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보수적</t>
    </r>
    <r>
      <rPr>
        <i val="true"/>
        <sz val="8"/>
        <color rgb="FFC1121F"/>
        <rFont val="Arial"/>
        <family val="0"/>
        <charset val="1"/>
      </rPr>
      <t xml:space="preserve">). </t>
    </r>
    <r>
      <rPr>
        <i val="true"/>
        <sz val="8"/>
        <color rgb="FFC1121F"/>
        <rFont val="WenQuanYi Zen Hei"/>
        <family val="2"/>
      </rPr>
      <t xml:space="preserve">실데이터 </t>
    </r>
    <r>
      <rPr>
        <i val="true"/>
        <sz val="8"/>
        <color rgb="FFC1121F"/>
        <rFont val="Arial"/>
        <family val="0"/>
        <charset val="1"/>
      </rPr>
      <t xml:space="preserve">Bloomberg/FactSet </t>
    </r>
    <r>
      <rPr>
        <i val="true"/>
        <sz val="8"/>
        <color rgb="FFC1121F"/>
        <rFont val="WenQuanYi Zen Hei"/>
        <family val="2"/>
      </rPr>
      <t xml:space="preserve">확정 필요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</si>
  <si>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3 · </t>
    </r>
    <r>
      <rPr>
        <b val="true"/>
        <sz val="10"/>
        <color rgb="FFFFFFFF"/>
        <rFont val="WenQuanYi Zen Hei"/>
        <family val="2"/>
      </rPr>
      <t xml:space="preserve">적용 — 멀티플 </t>
    </r>
    <r>
      <rPr>
        <b val="true"/>
        <sz val="10"/>
        <color rgb="FFFFFFFF"/>
        <rFont val="Arial"/>
        <family val="0"/>
        <charset val="1"/>
      </rPr>
      <t xml:space="preserve">× EBITDA → </t>
    </r>
    <r>
      <rPr>
        <b val="true"/>
        <sz val="10"/>
        <color rgb="FFFFFFFF"/>
        <rFont val="WenQuanYi Zen Hei"/>
        <family val="2"/>
      </rPr>
      <t xml:space="preserve">내재 </t>
    </r>
    <r>
      <rPr>
        <b val="true"/>
        <sz val="10"/>
        <color rgb="FFFFFFFF"/>
        <rFont val="Arial"/>
        <family val="0"/>
        <charset val="1"/>
      </rPr>
      <t xml:space="preserve">EV →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</si>
  <si>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t xml:space="preserve">멀티플별</t>
  </si>
  <si>
    <r>
      <rPr>
        <b val="true"/>
        <sz val="9"/>
        <color rgb="FF1B1714"/>
        <rFont val="WenQuanYi Zen Hei"/>
        <family val="2"/>
      </rPr>
      <t xml:space="preserve">멀티플</t>
    </r>
    <r>
      <rPr>
        <b val="true"/>
        <sz val="9"/>
        <color rgb="FF1B1714"/>
        <rFont val="Arial"/>
        <family val="0"/>
        <charset val="1"/>
      </rPr>
      <t xml:space="preserve">(</t>
    </r>
    <r>
      <rPr>
        <b val="true"/>
        <sz val="9"/>
        <color rgb="FF1B1714"/>
        <rFont val="WenQuanYi Zen Hei"/>
        <family val="2"/>
      </rPr>
      <t xml:space="preserve">입력</t>
    </r>
    <r>
      <rPr>
        <b val="true"/>
        <sz val="9"/>
        <color rgb="FF1B1714"/>
        <rFont val="Arial"/>
        <family val="0"/>
        <charset val="1"/>
      </rPr>
      <t xml:space="preserve">)</t>
    </r>
  </si>
  <si>
    <t xml:space="preserve">× run EV</t>
  </si>
  <si>
    <r>
      <rPr>
        <b val="true"/>
        <sz val="9"/>
        <color rgb="FF1B1714"/>
        <rFont val="WenQuanYi Zen Hei"/>
        <family val="2"/>
      </rPr>
      <t xml:space="preserve">−순차입</t>
    </r>
    <r>
      <rPr>
        <b val="true"/>
        <sz val="9"/>
        <color rgb="FF1B1714"/>
        <rFont val="Arial"/>
        <family val="0"/>
        <charset val="1"/>
      </rPr>
      <t xml:space="preserve">=</t>
    </r>
    <r>
      <rPr>
        <b val="true"/>
        <sz val="9"/>
        <color rgb="FF1B1714"/>
        <rFont val="WenQuanYi Zen Hei"/>
        <family val="2"/>
      </rPr>
      <t xml:space="preserve">지분</t>
    </r>
  </si>
  <si>
    <t xml:space="preserve">× 2029E EV</t>
  </si>
  <si>
    <t xml:space="preserve">8x</t>
  </si>
  <si>
    <t xml:space="preserve">10.5x</t>
  </si>
  <si>
    <t xml:space="preserve">13x</t>
  </si>
  <si>
    <t xml:space="preserve">15x</t>
  </si>
  <si>
    <t xml:space="preserve">19x</t>
  </si>
  <si>
    <r>
      <rPr>
        <b val="true"/>
        <sz val="10"/>
        <color rgb="FFFFFFFF"/>
        <rFont val="Arial"/>
        <family val="0"/>
        <charset val="1"/>
      </rPr>
      <t xml:space="preserve">4 · </t>
    </r>
    <r>
      <rPr>
        <b val="true"/>
        <sz val="10"/>
        <color rgb="FFFFFFFF"/>
        <rFont val="WenQuanYi Zen Hei"/>
        <family val="2"/>
      </rPr>
      <t xml:space="preserve">역산 필요 멀티플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조달 시나리오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</si>
  <si>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조달총액 </t>
    </r>
    <r>
      <rPr>
        <sz val="10"/>
        <color rgb="FF000000"/>
        <rFont val="Arial"/>
        <family val="0"/>
        <charset val="1"/>
      </rPr>
      <t xml:space="preserve">($mm)</t>
    </r>
  </si>
  <si>
    <r>
      <rPr>
        <sz val="10"/>
        <color rgb="FF000000"/>
        <rFont val="WenQuanYi Zen Hei"/>
        <family val="2"/>
      </rPr>
      <t xml:space="preserve">부채비중 </t>
    </r>
    <r>
      <rPr>
        <sz val="10"/>
        <color rgb="FF000000"/>
        <rFont val="Arial"/>
        <family val="0"/>
        <charset val="1"/>
      </rPr>
      <t xml:space="preserve">(%)</t>
    </r>
  </si>
  <si>
    <t xml:space="preserve">시나리오</t>
  </si>
  <si>
    <t xml:space="preserve">그랜트</t>
  </si>
  <si>
    <t xml:space="preserve">희석캡</t>
  </si>
  <si>
    <t xml:space="preserve">외부지분</t>
  </si>
  <si>
    <t xml:space="preserve">최소지분</t>
  </si>
  <si>
    <r>
      <rPr>
        <b val="true"/>
        <sz val="9"/>
        <color rgb="FF1B1714"/>
        <rFont val="WenQuanYi Zen Hei"/>
        <family val="2"/>
      </rPr>
      <t xml:space="preserve">최소</t>
    </r>
    <r>
      <rPr>
        <b val="true"/>
        <sz val="9"/>
        <color rgb="FF1B1714"/>
        <rFont val="Arial"/>
        <family val="0"/>
        <charset val="1"/>
      </rPr>
      <t xml:space="preserve">EV</t>
    </r>
  </si>
  <si>
    <r>
      <rPr>
        <b val="true"/>
        <sz val="9"/>
        <color rgb="FF1B1714"/>
        <rFont val="WenQuanYi Zen Hei"/>
        <family val="2"/>
      </rPr>
      <t xml:space="preserve">필요멀티플</t>
    </r>
    <r>
      <rPr>
        <b val="true"/>
        <sz val="9"/>
        <color rgb="FF1B1714"/>
        <rFont val="Arial"/>
        <family val="0"/>
        <charset val="1"/>
      </rPr>
      <t xml:space="preserve">(run)</t>
    </r>
  </si>
  <si>
    <r>
      <rPr>
        <b val="true"/>
        <sz val="9"/>
        <color rgb="FF1B1714"/>
        <rFont val="WenQuanYi Zen Hei"/>
        <family val="2"/>
      </rPr>
      <t xml:space="preserve">필요</t>
    </r>
    <r>
      <rPr>
        <b val="true"/>
        <sz val="9"/>
        <color rgb="FF1B1714"/>
        <rFont val="Arial"/>
        <family val="0"/>
        <charset val="1"/>
      </rPr>
      <t xml:space="preserve">(2029E)</t>
    </r>
  </si>
  <si>
    <t xml:space="preserve">BASE</t>
  </si>
  <si>
    <r>
      <rPr>
        <sz val="10"/>
        <color rgb="FF000000"/>
        <rFont val="WenQuanYi Zen Hei"/>
        <family val="2"/>
      </rPr>
      <t xml:space="preserve">① 그랜트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</si>
  <si>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WenQuanYi Zen Hei"/>
        <family val="2"/>
      </rPr>
      <t xml:space="preserve">② 희석</t>
    </r>
    <r>
      <rPr>
        <sz val="10"/>
        <color rgb="FF000000"/>
        <rFont val="Arial"/>
        <family val="0"/>
        <charset val="1"/>
      </rPr>
      <t xml:space="preserve">30</t>
    </r>
  </si>
  <si>
    <r>
      <rPr>
        <sz val="10"/>
        <color rgb="FF000000"/>
        <rFont val="WenQuanYi Zen Hei"/>
        <family val="2"/>
      </rPr>
      <t xml:space="preserve">③ 희석</t>
    </r>
    <r>
      <rPr>
        <sz val="10"/>
        <color rgb="FF000000"/>
        <rFont val="Arial"/>
        <family val="0"/>
        <charset val="1"/>
      </rPr>
      <t xml:space="preserve">49</t>
    </r>
  </si>
  <si>
    <t xml:space="preserve">최대결합</t>
  </si>
  <si>
    <r>
      <rPr>
        <b val="true"/>
        <sz val="10"/>
        <color rgb="FFFFFFFF"/>
        <rFont val="Arial"/>
        <family val="0"/>
        <charset val="1"/>
      </rPr>
      <t xml:space="preserve">5 · </t>
    </r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Arial"/>
        <family val="0"/>
        <charset val="1"/>
      </rPr>
      <t xml:space="preserve">EBITDA% (</t>
    </r>
    <r>
      <rPr>
        <b val="true"/>
        <sz val="10"/>
        <color rgb="FFFFFFFF"/>
        <rFont val="WenQuanYi Zen Hei"/>
        <family val="2"/>
      </rPr>
      <t xml:space="preserve">목표 멀티플 도달 </t>
    </r>
    <r>
      <rPr>
        <b val="true"/>
        <sz val="10"/>
        <color rgb="FFFFFFFF"/>
        <rFont val="Arial"/>
        <family val="0"/>
        <charset val="1"/>
      </rPr>
      <t xml:space="preserve">· run-rate </t>
    </r>
    <r>
      <rPr>
        <b val="true"/>
        <sz val="10"/>
        <color rgb="FFFFFFFF"/>
        <rFont val="WenQuanYi Zen Hei"/>
        <family val="2"/>
      </rPr>
      <t xml:space="preserve">매출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</si>
  <si>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목표 멀티플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</si>
  <si>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WenQuanYi Zen Hei"/>
        <family val="2"/>
      </rPr>
      <t xml:space="preserve">필요 </t>
    </r>
    <r>
      <rPr>
        <b val="true"/>
        <sz val="9"/>
        <color rgb="FF1B1714"/>
        <rFont val="Arial"/>
        <family val="0"/>
        <charset val="1"/>
      </rPr>
      <t xml:space="preserve">EBITDA% (→</t>
    </r>
    <r>
      <rPr>
        <b val="true"/>
        <sz val="9"/>
        <color rgb="FF1B1714"/>
        <rFont val="WenQuanYi Zen Hei"/>
        <family val="2"/>
      </rPr>
      <t xml:space="preserve">목표배수</t>
    </r>
    <r>
      <rPr>
        <b val="true"/>
        <sz val="9"/>
        <color rgb="FF1B1714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</si>
  <si>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필요</t>
    </r>
    <r>
      <rPr>
        <i val="true"/>
        <sz val="8"/>
        <color rgb="FF8C8473"/>
        <rFont val="Arial"/>
        <family val="0"/>
        <charset val="1"/>
      </rPr>
      <t xml:space="preserve">EBITDA% = </t>
    </r>
    <r>
      <rPr>
        <i val="true"/>
        <sz val="8"/>
        <color rgb="FF8C8473"/>
        <rFont val="WenQuanYi Zen Hei"/>
        <family val="2"/>
      </rPr>
      <t xml:space="preserve">최소</t>
    </r>
    <r>
      <rPr>
        <i val="true"/>
        <sz val="8"/>
        <color rgb="FF8C8473"/>
        <rFont val="Arial"/>
        <family val="0"/>
        <charset val="1"/>
      </rPr>
      <t xml:space="preserve">EV ÷ (</t>
    </r>
    <r>
      <rPr>
        <i val="true"/>
        <sz val="8"/>
        <color rgb="FF8C8473"/>
        <rFont val="WenQuanYi Zen Hei"/>
        <family val="2"/>
      </rPr>
      <t xml:space="preserve">목표멀티플 </t>
    </r>
    <r>
      <rPr>
        <i val="true"/>
        <sz val="8"/>
        <color rgb="FF8C8473"/>
        <rFont val="Arial"/>
        <family val="0"/>
        <charset val="1"/>
      </rPr>
      <t xml:space="preserve">× run-rate </t>
    </r>
    <r>
      <rPr>
        <i val="true"/>
        <sz val="8"/>
        <color rgb="FF8C8473"/>
        <rFont val="WenQuanYi Zen Hei"/>
        <family val="2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) · </t>
    </r>
    <r>
      <rPr>
        <i val="true"/>
        <sz val="8"/>
        <color rgb="FF8C8473"/>
        <rFont val="WenQuanYi Zen Hei"/>
        <family val="2"/>
      </rPr>
      <t xml:space="preserve">현 </t>
    </r>
    <r>
      <rPr>
        <i val="true"/>
        <sz val="8"/>
        <color rgb="FF8C8473"/>
        <rFont val="Arial"/>
        <family val="0"/>
        <charset val="1"/>
      </rPr>
      <t xml:space="preserve">ex-AMPC </t>
    </r>
    <r>
      <rPr>
        <i val="true"/>
        <sz val="8"/>
        <color rgb="FF8C8473"/>
        <rFont val="WenQuanYi Zen Hei"/>
        <family val="2"/>
      </rPr>
      <t xml:space="preserve">마진 </t>
    </r>
    <r>
      <rPr>
        <i val="true"/>
        <sz val="8"/>
        <color rgb="FF8C8473"/>
        <rFont val="Arial"/>
        <family val="0"/>
        <charset val="1"/>
      </rPr>
      <t xml:space="preserve">9% </t>
    </r>
    <r>
      <rPr>
        <i val="true"/>
        <sz val="8"/>
        <color rgb="FF8C8473"/>
        <rFont val="WenQuanYi Zen Hei"/>
        <family val="2"/>
      </rPr>
      <t xml:space="preserve">대비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</si>
</sst>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  <numFmt numFmtId="174" formatCode="0.0\x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1B1714"/>
      <name val="WenQuanYi Zen Hei"/>
      <family val="2"/>
    </font>
    <font>
      <sz val="10"/>
      <color rgb="FFC1121F"/>
      <name val="Arial"/>
      <family val="0"/>
      <charset val="1"/>
    </font>
    <font>
      <sz val="10"/>
      <color rgb="FFC1121F"/>
      <name val="WenQuanYi Zen Hei"/>
      <family val="2"/>
    </font>
    <font>
      <sz val="10"/>
      <color rgb="FF8C8473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903.65</c:v>
                </c:pt>
                <c:pt idx="3">
                  <c:v>2086.61</c:v>
                </c:pt>
                <c:pt idx="4">
                  <c:v>2497.572</c:v>
                </c:pt>
                <c:pt idx="5">
                  <c:v>2689.008</c:v>
                </c:pt>
                <c:pt idx="6">
                  <c:v>2684.98</c:v>
                </c:pt>
                <c:pt idx="7">
                  <c:v>2648.94</c:v>
                </c:pt>
                <c:pt idx="8">
                  <c:v>2612.9</c:v>
                </c:pt>
                <c:pt idx="9">
                  <c:v>2576.86</c:v>
                </c:pt>
                <c:pt idx="10">
                  <c:v>2540.82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798.498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16846818"/>
        <c:axId val="68606252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-320.341084</c:v>
                </c:pt>
                <c:pt idx="3">
                  <c:v>420.30394228</c:v>
                </c:pt>
                <c:pt idx="4">
                  <c:v>1457.27910108</c:v>
                </c:pt>
                <c:pt idx="5">
                  <c:v>1513.38719486</c:v>
                </c:pt>
                <c:pt idx="6">
                  <c:v>1225.6047407</c:v>
                </c:pt>
                <c:pt idx="7">
                  <c:v>804.5742941</c:v>
                </c:pt>
                <c:pt idx="8">
                  <c:v>313.9177475</c:v>
                </c:pt>
                <c:pt idx="9">
                  <c:v>309.9924509</c:v>
                </c:pt>
                <c:pt idx="10">
                  <c:v>306.0671543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846818"/>
        <c:axId val="68606252"/>
      </c:lineChart>
      <c:catAx>
        <c:axId val="16846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06252"/>
        <c:crosses val="autoZero"/>
        <c:auto val="1"/>
        <c:lblAlgn val="ctr"/>
        <c:lblOffset val="100"/>
        <c:noMultiLvlLbl val="0"/>
      </c:catAx>
      <c:valAx>
        <c:axId val="68606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8468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1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0.72</v>
      </c>
      <c r="G31" s="20" t="n">
        <v>0.82</v>
      </c>
      <c r="H31" s="20" t="n">
        <v>0.85</v>
      </c>
      <c r="I31" s="20" t="n">
        <v>0.85</v>
      </c>
      <c r="J31" s="20" t="n">
        <v>0.85</v>
      </c>
      <c r="K31" s="20" t="n">
        <v>0.85</v>
      </c>
      <c r="L31" s="20" t="n">
        <v>0.85</v>
      </c>
      <c r="M31" s="20" t="n">
        <v>0.85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2.915</v>
      </c>
      <c r="F32" s="37" t="n">
        <f aca="false">F30*F31*$C$6</f>
        <v>3.816</v>
      </c>
      <c r="G32" s="37" t="n">
        <f aca="false">G30*G31*$C$6</f>
        <v>4.346</v>
      </c>
      <c r="H32" s="37" t="n">
        <f aca="false">H30*H31*$C$6</f>
        <v>4.505</v>
      </c>
      <c r="I32" s="37" t="n">
        <f aca="false">I30*I31*$C$6</f>
        <v>4.505</v>
      </c>
      <c r="J32" s="37" t="n">
        <f aca="false">J30*J31*$C$6</f>
        <v>4.505</v>
      </c>
      <c r="K32" s="37" t="n">
        <f aca="false">K30*K31*$C$6</f>
        <v>4.505</v>
      </c>
      <c r="L32" s="37" t="n">
        <f aca="false">L30*L31*$C$6</f>
        <v>4.505</v>
      </c>
      <c r="M32" s="37" t="n">
        <f aca="false">M30*M31*$C$6</f>
        <v>4.505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0.72</v>
      </c>
      <c r="G34" s="20" t="n">
        <v>0.82</v>
      </c>
      <c r="H34" s="20" t="n">
        <v>0.85</v>
      </c>
      <c r="I34" s="20" t="n">
        <v>0.85</v>
      </c>
      <c r="J34" s="20" t="n">
        <v>0.85</v>
      </c>
      <c r="K34" s="20" t="n">
        <v>0.85</v>
      </c>
      <c r="L34" s="20" t="n">
        <v>0.85</v>
      </c>
      <c r="M34" s="20" t="n">
        <v>0.85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2.915</v>
      </c>
      <c r="F35" s="37" t="n">
        <f aca="false">F33*F34*$C$6</f>
        <v>3.816</v>
      </c>
      <c r="G35" s="37" t="n">
        <f aca="false">G33*G34*$C$6</f>
        <v>4.346</v>
      </c>
      <c r="H35" s="37" t="n">
        <f aca="false">H33*H34*$C$6</f>
        <v>4.505</v>
      </c>
      <c r="I35" s="37" t="n">
        <f aca="false">I33*I34*$C$6</f>
        <v>4.505</v>
      </c>
      <c r="J35" s="37" t="n">
        <f aca="false">J33*J34*$C$6</f>
        <v>4.505</v>
      </c>
      <c r="K35" s="37" t="n">
        <f aca="false">K33*K34*$C$6</f>
        <v>4.505</v>
      </c>
      <c r="L35" s="37" t="n">
        <f aca="false">L33*L34*$C$6</f>
        <v>4.505</v>
      </c>
      <c r="M35" s="37" t="n">
        <f aca="false">M33*M34*$C$6</f>
        <v>4.505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0.72</v>
      </c>
      <c r="H38" s="20" t="n">
        <v>0.83</v>
      </c>
      <c r="I38" s="20" t="n">
        <v>0.85</v>
      </c>
      <c r="J38" s="20" t="n">
        <v>0.85</v>
      </c>
      <c r="K38" s="20" t="n">
        <v>0.85</v>
      </c>
      <c r="L38" s="20" t="n">
        <v>0.85</v>
      </c>
      <c r="M38" s="20" t="n">
        <v>0.85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2.915</v>
      </c>
      <c r="G39" s="37" t="n">
        <f aca="false">G37*G38*$C$6</f>
        <v>3.816</v>
      </c>
      <c r="H39" s="37" t="n">
        <f aca="false">H37*H38*$C$6</f>
        <v>4.399</v>
      </c>
      <c r="I39" s="37" t="n">
        <f aca="false">I37*I38*$C$6</f>
        <v>4.505</v>
      </c>
      <c r="J39" s="37" t="n">
        <f aca="false">J37*J38*$C$6</f>
        <v>4.505</v>
      </c>
      <c r="K39" s="37" t="n">
        <f aca="false">K37*K38*$C$6</f>
        <v>4.505</v>
      </c>
      <c r="L39" s="37" t="n">
        <f aca="false">L37*L38*$C$6</f>
        <v>4.505</v>
      </c>
      <c r="M39" s="37" t="n">
        <f aca="false">M37*M38*$C$6</f>
        <v>4.505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0.72</v>
      </c>
      <c r="H41" s="20" t="n">
        <v>0.83</v>
      </c>
      <c r="I41" s="20" t="n">
        <v>0.85</v>
      </c>
      <c r="J41" s="20" t="n">
        <v>0.85</v>
      </c>
      <c r="K41" s="20" t="n">
        <v>0.85</v>
      </c>
      <c r="L41" s="20" t="n">
        <v>0.85</v>
      </c>
      <c r="M41" s="20" t="n">
        <v>0.85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2.915</v>
      </c>
      <c r="G42" s="37" t="n">
        <f aca="false">G40*G41*$C$6</f>
        <v>3.816</v>
      </c>
      <c r="H42" s="37" t="n">
        <f aca="false">H40*H41*$C$6</f>
        <v>4.399</v>
      </c>
      <c r="I42" s="37" t="n">
        <f aca="false">I40*I41*$C$6</f>
        <v>4.505</v>
      </c>
      <c r="J42" s="37" t="n">
        <f aca="false">J40*J41*$C$6</f>
        <v>4.505</v>
      </c>
      <c r="K42" s="37" t="n">
        <f aca="false">K40*K41*$C$6</f>
        <v>4.505</v>
      </c>
      <c r="L42" s="37" t="n">
        <f aca="false">L40*L41*$C$6</f>
        <v>4.505</v>
      </c>
      <c r="M42" s="37" t="n">
        <f aca="false">M40*M41*$C$6</f>
        <v>4.505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5.83</v>
      </c>
      <c r="F43" s="37" t="n">
        <f aca="false">F32+F35</f>
        <v>7.632</v>
      </c>
      <c r="G43" s="37" t="n">
        <f aca="false">G32+G35</f>
        <v>8.692</v>
      </c>
      <c r="H43" s="37" t="n">
        <f aca="false">H32+H35</f>
        <v>9.01</v>
      </c>
      <c r="I43" s="37" t="n">
        <f aca="false">I32+I35</f>
        <v>9.01</v>
      </c>
      <c r="J43" s="37" t="n">
        <f aca="false">J32+J35</f>
        <v>9.01</v>
      </c>
      <c r="K43" s="37" t="n">
        <f aca="false">K32+K35</f>
        <v>9.01</v>
      </c>
      <c r="L43" s="37" t="n">
        <f aca="false">L32+L35</f>
        <v>9.01</v>
      </c>
      <c r="M43" s="37" t="n">
        <f aca="false">M32+M35</f>
        <v>9.01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5.83</v>
      </c>
      <c r="G44" s="37" t="n">
        <f aca="false">G39+G42</f>
        <v>7.632</v>
      </c>
      <c r="H44" s="37" t="n">
        <f aca="false">H39+H42</f>
        <v>8.798</v>
      </c>
      <c r="I44" s="37" t="n">
        <f aca="false">I39+I42</f>
        <v>9.01</v>
      </c>
      <c r="J44" s="37" t="n">
        <f aca="false">J39+J42</f>
        <v>9.01</v>
      </c>
      <c r="K44" s="37" t="n">
        <f aca="false">K39+K42</f>
        <v>9.01</v>
      </c>
      <c r="L44" s="37" t="n">
        <f aca="false">L39+L42</f>
        <v>9.01</v>
      </c>
      <c r="M44" s="37" t="n">
        <f aca="false">M39+M42</f>
        <v>9.01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5.83</v>
      </c>
      <c r="F45" s="37" t="n">
        <f aca="false">F43+F44</f>
        <v>13.462</v>
      </c>
      <c r="G45" s="37" t="n">
        <f aca="false">G43+G44</f>
        <v>16.324</v>
      </c>
      <c r="H45" s="37" t="n">
        <f aca="false">H43+H44</f>
        <v>17.808</v>
      </c>
      <c r="I45" s="37" t="n">
        <f aca="false">I43+I44</f>
        <v>18.02</v>
      </c>
      <c r="J45" s="37" t="n">
        <f aca="false">J43+J44</f>
        <v>18.02</v>
      </c>
      <c r="K45" s="37" t="n">
        <f aca="false">K43+K44</f>
        <v>18.02</v>
      </c>
      <c r="L45" s="37" t="n">
        <f aca="false">L43+L44</f>
        <v>18.02</v>
      </c>
      <c r="M45" s="37" t="n">
        <f aca="false">M43+M44</f>
        <v>18.02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0.18</v>
      </c>
      <c r="G60" s="20" t="n">
        <v>0.58</v>
      </c>
      <c r="H60" s="20" t="n">
        <v>0.75</v>
      </c>
      <c r="I60" s="20" t="n">
        <v>0.85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2.43</v>
      </c>
      <c r="G61" s="37" t="n">
        <f aca="false">G59*G60*$C$6</f>
        <v>7.83</v>
      </c>
      <c r="H61" s="37" t="n">
        <f aca="false">H59*H60*$C$6</f>
        <v>10.125</v>
      </c>
      <c r="I61" s="37" t="n">
        <f aca="false">I59*I60*$C$6</f>
        <v>11.475</v>
      </c>
      <c r="J61" s="37" t="n">
        <f aca="false">J59*J60*$C$6</f>
        <v>11.475</v>
      </c>
      <c r="K61" s="37" t="n">
        <f aca="false">K59*K60*$C$6</f>
        <v>11.475</v>
      </c>
      <c r="L61" s="37" t="n">
        <f aca="false">L59*L60*$C$6</f>
        <v>11.475</v>
      </c>
      <c r="M61" s="37" t="n">
        <f aca="false">M59*M60*$C$6</f>
        <v>11.475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0.18</v>
      </c>
      <c r="G63" s="20" t="n">
        <v>0.58</v>
      </c>
      <c r="H63" s="20" t="n">
        <v>0.75</v>
      </c>
      <c r="I63" s="20" t="n">
        <v>0.85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2.43</v>
      </c>
      <c r="G64" s="37" t="n">
        <f aca="false">G62*G63*$C$6</f>
        <v>7.83</v>
      </c>
      <c r="H64" s="37" t="n">
        <f aca="false">H62*H63*$C$6</f>
        <v>10.125</v>
      </c>
      <c r="I64" s="37" t="n">
        <f aca="false">I62*I63*$C$6</f>
        <v>11.475</v>
      </c>
      <c r="J64" s="37" t="n">
        <f aca="false">J62*J63*$C$6</f>
        <v>11.475</v>
      </c>
      <c r="K64" s="37" t="n">
        <f aca="false">K62*K63*$C$6</f>
        <v>11.475</v>
      </c>
      <c r="L64" s="37" t="n">
        <f aca="false">L62*L63*$C$6</f>
        <v>11.475</v>
      </c>
      <c r="M64" s="37" t="n">
        <f aca="false">M62*M63*$C$6</f>
        <v>11.475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0.18</v>
      </c>
      <c r="G67" s="20" t="n">
        <v>0.58</v>
      </c>
      <c r="H67" s="20" t="n">
        <v>0.75</v>
      </c>
      <c r="I67" s="20" t="n">
        <v>0.85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0.486</v>
      </c>
      <c r="G68" s="37" t="n">
        <f aca="false">G66*G67*$C$6</f>
        <v>1.566</v>
      </c>
      <c r="H68" s="37" t="n">
        <f aca="false">H66*H67*$C$6</f>
        <v>2.025</v>
      </c>
      <c r="I68" s="37" t="n">
        <f aca="false">I66*I67*$C$6</f>
        <v>2.295</v>
      </c>
      <c r="J68" s="37" t="n">
        <f aca="false">J66*J67*$C$6</f>
        <v>2.295</v>
      </c>
      <c r="K68" s="37" t="n">
        <f aca="false">K66*K67*$C$6</f>
        <v>2.295</v>
      </c>
      <c r="L68" s="37" t="n">
        <f aca="false">L66*L67*$C$6</f>
        <v>2.295</v>
      </c>
      <c r="M68" s="37" t="n">
        <f aca="false">M66*M67*$C$6</f>
        <v>2.295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4.86</v>
      </c>
      <c r="G69" s="37" t="n">
        <f aca="false">G61+G64</f>
        <v>15.66</v>
      </c>
      <c r="H69" s="37" t="n">
        <f aca="false">H61+H64</f>
        <v>20.25</v>
      </c>
      <c r="I69" s="37" t="n">
        <f aca="false">I61+I64</f>
        <v>22.95</v>
      </c>
      <c r="J69" s="37" t="n">
        <f aca="false">J61+J64</f>
        <v>22.95</v>
      </c>
      <c r="K69" s="37" t="n">
        <f aca="false">K61+K64</f>
        <v>22.95</v>
      </c>
      <c r="L69" s="37" t="n">
        <f aca="false">L61+L64</f>
        <v>22.95</v>
      </c>
      <c r="M69" s="37" t="n">
        <f aca="false">M61+M64</f>
        <v>22.95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0.486</v>
      </c>
      <c r="G70" s="37" t="n">
        <f aca="false">G68</f>
        <v>1.566</v>
      </c>
      <c r="H70" s="37" t="n">
        <f aca="false">H68</f>
        <v>2.025</v>
      </c>
      <c r="I70" s="37" t="n">
        <f aca="false">I68</f>
        <v>2.295</v>
      </c>
      <c r="J70" s="37" t="n">
        <f aca="false">J68</f>
        <v>2.295</v>
      </c>
      <c r="K70" s="37" t="n">
        <f aca="false">K68</f>
        <v>2.295</v>
      </c>
      <c r="L70" s="37" t="n">
        <f aca="false">L68</f>
        <v>2.295</v>
      </c>
      <c r="M70" s="37" t="n">
        <f aca="false">M68</f>
        <v>2.295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19" t="n">
        <v>200</v>
      </c>
      <c r="D85" s="8" t="s">
        <v>113</v>
      </c>
    </row>
    <row r="86" customFormat="false" ht="15" hidden="false" customHeight="false" outlineLevel="0" collapsed="false">
      <c r="B86" s="21" t="s">
        <v>114</v>
      </c>
      <c r="C86" s="20" t="n">
        <v>0.15</v>
      </c>
    </row>
    <row r="87" customFormat="false" ht="15" hidden="false" customHeight="false" outlineLevel="0" collapsed="false">
      <c r="B87" s="21" t="s">
        <v>115</v>
      </c>
      <c r="C87" s="20" t="n">
        <v>0.23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4000</v>
      </c>
      <c r="D88" s="10" t="s">
        <v>118</v>
      </c>
    </row>
    <row r="89" customFormat="false" ht="15" hidden="false" customHeight="false" outlineLevel="0" collapsed="false">
      <c r="B89" s="21" t="s">
        <v>119</v>
      </c>
      <c r="C89" s="19" t="n">
        <v>0</v>
      </c>
      <c r="D89" s="8" t="s">
        <v>120</v>
      </c>
    </row>
    <row r="90" customFormat="false" ht="15" hidden="false" customHeight="false" outlineLevel="0" collapsed="false">
      <c r="B90" s="21" t="s">
        <v>121</v>
      </c>
      <c r="C90" s="20" t="n">
        <v>0.8</v>
      </c>
      <c r="D90" s="10" t="s">
        <v>122</v>
      </c>
    </row>
    <row r="91" customFormat="false" ht="15" hidden="false" customHeight="false" outlineLevel="0" collapsed="false">
      <c r="B91" s="21" t="s">
        <v>123</v>
      </c>
      <c r="C91" s="20" t="n">
        <v>0.105</v>
      </c>
    </row>
    <row r="92" customFormat="false" ht="15" hidden="false" customHeight="false" outlineLevel="0" collapsed="false">
      <c r="B92" s="21" t="s">
        <v>124</v>
      </c>
      <c r="C92" s="20" t="n">
        <v>0.13</v>
      </c>
      <c r="D92" s="8" t="s">
        <v>125</v>
      </c>
    </row>
    <row r="93" customFormat="false" ht="15" hidden="false" customHeight="false" outlineLevel="0" collapsed="false">
      <c r="B93" s="21" t="s">
        <v>126</v>
      </c>
      <c r="C93" s="20" t="n">
        <v>0.02</v>
      </c>
    </row>
    <row r="94" customFormat="false" ht="15" hidden="false" customHeight="false" outlineLevel="0" collapsed="false">
      <c r="B94" s="21" t="s">
        <v>127</v>
      </c>
      <c r="C94" s="19" t="n">
        <v>6400</v>
      </c>
      <c r="D94" s="10" t="s">
        <v>128</v>
      </c>
    </row>
    <row r="95" customFormat="false" ht="15" hidden="false" customHeight="false" outlineLevel="0" collapsed="false">
      <c r="B95" s="21" t="s">
        <v>129</v>
      </c>
      <c r="C95" s="45" t="n">
        <v>0.5</v>
      </c>
    </row>
    <row r="97" customFormat="false" ht="15" hidden="false" customHeight="false" outlineLevel="0" collapsed="false">
      <c r="B97" s="46" t="s">
        <v>130</v>
      </c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4" t="s">
        <v>131</v>
      </c>
    </row>
    <row r="99" customFormat="false" ht="15" hidden="false" customHeight="false" outlineLevel="0" collapsed="false">
      <c r="B99" s="47" t="s">
        <v>132</v>
      </c>
    </row>
    <row r="100" customFormat="false" ht="15" hidden="false" customHeight="false" outlineLevel="0" collapsed="false">
      <c r="B100" s="21" t="s">
        <v>133</v>
      </c>
      <c r="C100" s="19" t="n">
        <v>0</v>
      </c>
      <c r="D100" s="8" t="s">
        <v>134</v>
      </c>
    </row>
    <row r="101" customFormat="false" ht="15" hidden="false" customHeight="false" outlineLevel="0" collapsed="false">
      <c r="B101" s="21" t="s">
        <v>135</v>
      </c>
      <c r="C101" s="20" t="n">
        <v>0.09</v>
      </c>
      <c r="D101" s="8" t="s">
        <v>136</v>
      </c>
    </row>
    <row r="102" customFormat="false" ht="15" hidden="false" customHeight="false" outlineLevel="0" collapsed="false">
      <c r="B102" s="48" t="s">
        <v>137</v>
      </c>
    </row>
    <row r="103" customFormat="false" ht="15" hidden="false" customHeight="false" outlineLevel="0" collapsed="false">
      <c r="B103" s="18" t="s">
        <v>138</v>
      </c>
      <c r="C103" s="19" t="n">
        <v>852</v>
      </c>
      <c r="D103" s="8" t="s">
        <v>139</v>
      </c>
    </row>
    <row r="104" customFormat="false" ht="15" hidden="false" customHeight="false" outlineLevel="0" collapsed="false">
      <c r="B104" s="18" t="s">
        <v>140</v>
      </c>
      <c r="C104" s="20" t="n">
        <v>0.065</v>
      </c>
      <c r="D104" s="8" t="s">
        <v>141</v>
      </c>
    </row>
    <row r="105" customFormat="false" ht="15" hidden="false" customHeight="false" outlineLevel="0" collapsed="false">
      <c r="B105" s="21" t="s">
        <v>142</v>
      </c>
      <c r="C105" s="19" t="n">
        <v>0</v>
      </c>
      <c r="D105" s="8" t="s">
        <v>143</v>
      </c>
    </row>
    <row r="106" customFormat="false" ht="15" hidden="false" customHeight="false" outlineLevel="0" collapsed="false">
      <c r="B106" s="47" t="s">
        <v>144</v>
      </c>
    </row>
    <row r="107" customFormat="false" ht="15" hidden="false" customHeight="false" outlineLevel="0" collapsed="false">
      <c r="B107" s="21" t="s">
        <v>145</v>
      </c>
      <c r="C107" s="19" t="n">
        <v>4000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20" t="n">
        <v>0.05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19" t="n">
        <v>0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20" t="n">
        <v>0.07</v>
      </c>
      <c r="D110" s="8" t="s">
        <v>152</v>
      </c>
    </row>
    <row r="111" customFormat="false" ht="15" hidden="false" customHeight="false" outlineLevel="0" collapsed="false">
      <c r="B111" s="21" t="s">
        <v>153</v>
      </c>
      <c r="C111" s="49" t="n">
        <v>2029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49" t="n">
        <v>2032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20" t="n">
        <v>0.05</v>
      </c>
      <c r="D113" s="10" t="s">
        <v>158</v>
      </c>
    </row>
    <row r="114" customFormat="false" ht="15" hidden="false" customHeight="false" outlineLevel="0" collapsed="false">
      <c r="B114" s="21" t="s">
        <v>159</v>
      </c>
      <c r="C114" s="19" t="n">
        <v>0</v>
      </c>
      <c r="D114" s="8" t="s">
        <v>160</v>
      </c>
    </row>
    <row r="116" customFormat="false" ht="15" hidden="false" customHeight="false" outlineLevel="0" collapsed="false">
      <c r="B116" s="10" t="s">
        <v>161</v>
      </c>
    </row>
    <row r="117" customFormat="false" ht="15" hidden="false" customHeight="false" outlineLevel="0" collapsed="false">
      <c r="B117" s="10" t="s">
        <v>162</v>
      </c>
    </row>
    <row r="119" customFormat="false" ht="15" hidden="false" customHeight="false" outlineLevel="0" collapsed="false">
      <c r="B119" s="21" t="s">
        <v>163</v>
      </c>
      <c r="C119" s="50" t="n">
        <v>2000</v>
      </c>
      <c r="D119" s="8" t="s">
        <v>164</v>
      </c>
    </row>
    <row r="120" customFormat="false" ht="15" hidden="false" customHeight="false" outlineLevel="0" collapsed="false">
      <c r="B120" s="21" t="s">
        <v>165</v>
      </c>
      <c r="C120" s="19" t="n">
        <v>3000</v>
      </c>
      <c r="D120" s="8" t="s">
        <v>166</v>
      </c>
    </row>
    <row r="122" customFormat="false" ht="15" hidden="false" customHeight="false" outlineLevel="0" collapsed="false">
      <c r="B122" s="10" t="s">
        <v>167</v>
      </c>
    </row>
    <row r="123" customFormat="false" ht="15" hidden="false" customHeight="false" outlineLevel="0" collapsed="false">
      <c r="B123" s="5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169</v>
      </c>
    </row>
    <row r="2" customFormat="false" ht="15" hidden="false" customHeight="false" outlineLevel="0" collapsed="false">
      <c r="B2" s="53" t="s">
        <v>170</v>
      </c>
    </row>
    <row r="4" customFormat="false" ht="15" hidden="false" customHeight="false" outlineLevel="0" collapsed="false">
      <c r="B4" s="32" t="s">
        <v>171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173</v>
      </c>
      <c r="D6" s="54" t="n">
        <f aca="false">Assumptions!D45</f>
        <v>0</v>
      </c>
      <c r="E6" s="54" t="n">
        <f aca="false">Assumptions!E45</f>
        <v>5.83</v>
      </c>
      <c r="F6" s="54" t="n">
        <f aca="false">Assumptions!F45</f>
        <v>13.462</v>
      </c>
      <c r="G6" s="54" t="n">
        <f aca="false">Assumptions!G45</f>
        <v>16.324</v>
      </c>
      <c r="H6" s="54" t="n">
        <f aca="false">Assumptions!H45</f>
        <v>17.808</v>
      </c>
      <c r="I6" s="54" t="n">
        <f aca="false">Assumptions!I45</f>
        <v>18.02</v>
      </c>
      <c r="J6" s="54" t="n">
        <f aca="false">Assumptions!J45</f>
        <v>18.02</v>
      </c>
      <c r="K6" s="54" t="n">
        <f aca="false">Assumptions!K45</f>
        <v>18.02</v>
      </c>
      <c r="L6" s="54" t="n">
        <f aca="false">Assumptions!L45</f>
        <v>18.02</v>
      </c>
      <c r="M6" s="54" t="n">
        <f aca="false">Assumptions!M45</f>
        <v>18.02</v>
      </c>
    </row>
    <row r="7" customFormat="false" ht="15" hidden="false" customHeight="false" outlineLevel="0" collapsed="false">
      <c r="B7" s="21" t="s">
        <v>174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175</v>
      </c>
      <c r="D8" s="56" t="n">
        <f aca="false">D6*D7</f>
        <v>0</v>
      </c>
      <c r="E8" s="56" t="n">
        <f aca="false">E6*E7</f>
        <v>903.65</v>
      </c>
      <c r="F8" s="56" t="n">
        <f aca="false">F6*F7</f>
        <v>2086.61</v>
      </c>
      <c r="G8" s="56" t="n">
        <f aca="false">G6*G7</f>
        <v>2497.572</v>
      </c>
      <c r="H8" s="56" t="n">
        <f aca="false">H6*H7</f>
        <v>2689.008</v>
      </c>
      <c r="I8" s="56" t="n">
        <f aca="false">I6*I7</f>
        <v>2684.98</v>
      </c>
      <c r="J8" s="56" t="n">
        <f aca="false">J6*J7</f>
        <v>2648.94</v>
      </c>
      <c r="K8" s="56" t="n">
        <f aca="false">K6*K7</f>
        <v>2612.9</v>
      </c>
      <c r="L8" s="56" t="n">
        <f aca="false">L6*L7</f>
        <v>2576.86</v>
      </c>
      <c r="M8" s="56" t="n">
        <f aca="false">M6*M7</f>
        <v>2540.82</v>
      </c>
    </row>
    <row r="9" customFormat="false" ht="15" hidden="false" customHeight="false" outlineLevel="0" collapsed="false">
      <c r="B9" s="21" t="s">
        <v>176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-759.066</v>
      </c>
      <c r="F9" s="38" t="n">
        <f aca="false">-(Assumptions!F43*Assumptions!F49+Assumptions!F44*Assumptions!F50)</f>
        <v>-1770.8254</v>
      </c>
      <c r="G9" s="38" t="n">
        <f aca="false">-(Assumptions!G43*Assumptions!G49+Assumptions!G44*Assumptions!G50)</f>
        <v>-2121.3144</v>
      </c>
      <c r="H9" s="38" t="n">
        <f aca="false">-(Assumptions!H43*Assumptions!H49+Assumptions!H44*Assumptions!H50)</f>
        <v>-2285.33668</v>
      </c>
      <c r="I9" s="38" t="n">
        <f aca="false">-(Assumptions!I43*Assumptions!I49+Assumptions!I44*Assumptions!I50)</f>
        <v>-2282.233</v>
      </c>
      <c r="J9" s="38" t="n">
        <f aca="false">-(Assumptions!J43*Assumptions!J49+Assumptions!J44*Assumptions!J50)</f>
        <v>-2251.599</v>
      </c>
      <c r="K9" s="38" t="n">
        <f aca="false">-(Assumptions!K43*Assumptions!K49+Assumptions!K44*Assumptions!K50)</f>
        <v>-2220.965</v>
      </c>
      <c r="L9" s="38" t="n">
        <f aca="false">-(Assumptions!L43*Assumptions!L49+Assumptions!L44*Assumptions!L50)</f>
        <v>-2190.331</v>
      </c>
      <c r="M9" s="38" t="n">
        <f aca="false">-(Assumptions!M43*Assumptions!M49+Assumptions!M44*Assumptions!M50)</f>
        <v>-2159.697</v>
      </c>
    </row>
    <row r="10" customFormat="false" ht="15" hidden="false" customHeight="false" outlineLevel="0" collapsed="false">
      <c r="B10" s="32" t="s">
        <v>177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144.584</v>
      </c>
      <c r="F12" s="56" t="n">
        <f aca="false">F8+F9</f>
        <v>315.7846</v>
      </c>
      <c r="G12" s="56" t="n">
        <f aca="false">G8+G9</f>
        <v>376.2576</v>
      </c>
      <c r="H12" s="56" t="n">
        <f aca="false">H8+H9</f>
        <v>403.67132</v>
      </c>
      <c r="I12" s="56" t="n">
        <f aca="false">I8+I9</f>
        <v>402.747</v>
      </c>
      <c r="J12" s="56" t="n">
        <f aca="false">J8+J9</f>
        <v>397.341</v>
      </c>
      <c r="K12" s="56" t="n">
        <f aca="false">K8+K9</f>
        <v>391.935</v>
      </c>
      <c r="L12" s="56" t="n">
        <f aca="false">L8+L9</f>
        <v>386.529</v>
      </c>
      <c r="M12" s="56" t="n">
        <f aca="false">M8+M9</f>
        <v>381.123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-54.219</v>
      </c>
      <c r="F13" s="38" t="n">
        <f aca="false">-F8*Assumptions!$C$81</f>
        <v>-125.1966</v>
      </c>
      <c r="G13" s="38" t="n">
        <f aca="false">-G8*Assumptions!$C$81</f>
        <v>-149.85432</v>
      </c>
      <c r="H13" s="38" t="n">
        <f aca="false">-H8*Assumptions!$C$81</f>
        <v>-161.34048</v>
      </c>
      <c r="I13" s="38" t="n">
        <f aca="false">-I8*Assumptions!$C$81</f>
        <v>-161.0988</v>
      </c>
      <c r="J13" s="38" t="n">
        <f aca="false">-J8*Assumptions!$C$81</f>
        <v>-158.9364</v>
      </c>
      <c r="K13" s="38" t="n">
        <f aca="false">-K8*Assumptions!$C$81</f>
        <v>-156.774</v>
      </c>
      <c r="L13" s="38" t="n">
        <f aca="false">-L8*Assumptions!$C$81</f>
        <v>-154.6116</v>
      </c>
      <c r="M13" s="38" t="n">
        <f aca="false">-M8*Assumptions!$C$81</f>
        <v>-152.4492</v>
      </c>
    </row>
    <row r="14" customFormat="false" ht="15" hidden="false" customHeight="false" outlineLevel="0" collapsed="false">
      <c r="B14" s="21" t="s">
        <v>180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18" t="s">
        <v>182</v>
      </c>
      <c r="D16" s="38" t="n">
        <f aca="false">MAX(0,Assumptions!$C$85-(D12+D13))</f>
        <v>200</v>
      </c>
      <c r="E16" s="38" t="n">
        <f aca="false">MAX(0,Assumptions!$C$85-(E12+E13))</f>
        <v>109.635</v>
      </c>
      <c r="F16" s="38" t="n">
        <f aca="false">MAX(0,Assumptions!$C$85-(F12+F13))</f>
        <v>9.41199999999981</v>
      </c>
      <c r="G16" s="38" t="n">
        <f aca="false">MAX(0,Assumptions!$C$85-(G12+G13))</f>
        <v>0</v>
      </c>
      <c r="H16" s="38" t="n">
        <f aca="false">MAX(0,Assumptions!$C$85-(H12+H13))</f>
        <v>0</v>
      </c>
      <c r="I16" s="38" t="n">
        <f aca="false">MAX(0,Assumptions!$C$85-(I12+I13))</f>
        <v>0</v>
      </c>
      <c r="J16" s="38" t="n">
        <f aca="false">MAX(0,Assumptions!$C$85-(J12+J13))</f>
        <v>0</v>
      </c>
      <c r="K16" s="38" t="n">
        <f aca="false">MAX(0,Assumptions!$C$85-(K12+K13))</f>
        <v>0</v>
      </c>
      <c r="L16" s="38" t="n">
        <f aca="false">MAX(0,Assumptions!$C$85-(L12+L13))</f>
        <v>0</v>
      </c>
      <c r="M16" s="38" t="n">
        <f aca="false">MAX(0,Assumptions!$C$85-(M12+M13))</f>
        <v>0</v>
      </c>
    </row>
    <row r="17" customFormat="false" ht="15" hidden="false" customHeight="false" outlineLevel="0" collapsed="false">
      <c r="B17" s="55" t="s">
        <v>183</v>
      </c>
      <c r="D17" s="56" t="n">
        <f aca="false">D12+D13+D15+D16</f>
        <v>186.66</v>
      </c>
      <c r="E17" s="56" t="n">
        <f aca="false">E12+E13+E15+E16</f>
        <v>174.654</v>
      </c>
      <c r="F17" s="56" t="n">
        <f aca="false">F12+F13+F15+F16</f>
        <v>171.986</v>
      </c>
      <c r="G17" s="56" t="n">
        <f aca="false">G12+G13+G15+G16</f>
        <v>198.38928</v>
      </c>
      <c r="H17" s="56" t="n">
        <f aca="false">H12+H13+H15+H16</f>
        <v>214.31684</v>
      </c>
      <c r="I17" s="56" t="n">
        <f aca="false">I12+I13+I15+I16</f>
        <v>213.6342</v>
      </c>
      <c r="J17" s="56" t="n">
        <f aca="false">J12+J13+J15+J16</f>
        <v>210.3906</v>
      </c>
      <c r="K17" s="56" t="n">
        <f aca="false">K12+K13+K15+K16</f>
        <v>207.147</v>
      </c>
      <c r="L17" s="56" t="n">
        <f aca="false">L12+L13+L15+L16</f>
        <v>203.9034</v>
      </c>
      <c r="M17" s="56" t="n">
        <f aca="false">M12+M13+M15+M16</f>
        <v>200.6598</v>
      </c>
    </row>
    <row r="18" customFormat="false" ht="15" hidden="false" customHeight="false" outlineLevel="0" collapsed="false">
      <c r="B18" s="21" t="s">
        <v>184</v>
      </c>
      <c r="D18" s="57" t="n">
        <f aca="false">IF(D8=0,0,D17/D8)</f>
        <v>0</v>
      </c>
      <c r="E18" s="57" t="n">
        <f aca="false">IF(E8=0,0,E17/E8)</f>
        <v>0.19327615780446</v>
      </c>
      <c r="F18" s="57" t="n">
        <f aca="false">IF(F8=0,0,F17/F8)</f>
        <v>0.0824236440925712</v>
      </c>
      <c r="G18" s="57" t="n">
        <f aca="false">IF(G8=0,0,G17/G8)</f>
        <v>0.079432857190904</v>
      </c>
      <c r="H18" s="57" t="n">
        <f aca="false">IF(H8=0,0,H17/H8)</f>
        <v>0.079701079357146</v>
      </c>
      <c r="I18" s="57" t="n">
        <f aca="false">IF(I8=0,0,I17/I8)</f>
        <v>0.0795664027292569</v>
      </c>
      <c r="J18" s="57" t="n">
        <f aca="false">IF(J8=0,0,J17/J8)</f>
        <v>0.0794244490248929</v>
      </c>
      <c r="K18" s="57" t="n">
        <f aca="false">IF(K8=0,0,K17/K8)</f>
        <v>0.0792785793562708</v>
      </c>
      <c r="L18" s="57" t="n">
        <f aca="false">IF(L8=0,0,L17/L8)</f>
        <v>0.0791286294171977</v>
      </c>
      <c r="M18" s="57" t="n">
        <f aca="false">IF(M8=0,0,M17/M8)</f>
        <v>0.0789744255791438</v>
      </c>
    </row>
    <row r="19" customFormat="false" ht="15" hidden="false" customHeight="false" outlineLevel="0" collapsed="false">
      <c r="B19" s="21" t="s">
        <v>185</v>
      </c>
      <c r="D19" s="38" t="n">
        <f aca="false">(Assumptions!D45)*Assumptions!D8</f>
        <v>0</v>
      </c>
      <c r="E19" s="38" t="n">
        <f aca="false">(Assumptions!E45)*Assumptions!E8</f>
        <v>262.35</v>
      </c>
      <c r="F19" s="38" t="n">
        <f aca="false">(Assumptions!F45)*Assumptions!F8</f>
        <v>605.79</v>
      </c>
      <c r="G19" s="38" t="n">
        <f aca="false">(Assumptions!G45)*Assumptions!G8</f>
        <v>734.58</v>
      </c>
      <c r="H19" s="38" t="n">
        <f aca="false">(Assumptions!H45)*Assumptions!H8</f>
        <v>601.02</v>
      </c>
      <c r="I19" s="38" t="n">
        <f aca="false">(Assumptions!I45)*Assumptions!I8</f>
        <v>405.45</v>
      </c>
      <c r="J19" s="38" t="n">
        <f aca="false">(Assumptions!J45)*Assumptions!J8</f>
        <v>202.725</v>
      </c>
      <c r="K19" s="38" t="n">
        <f aca="false">(Assumptions!K45)*Assumptions!K8</f>
        <v>0</v>
      </c>
      <c r="L19" s="38" t="n">
        <f aca="false">(Assumptions!L45)*Assumptions!L8</f>
        <v>0</v>
      </c>
      <c r="M19" s="38" t="n">
        <f aca="false">(Assumptions!M45)*Assumptions!M8</f>
        <v>0</v>
      </c>
    </row>
    <row r="20" customFormat="false" ht="15" hidden="false" customHeight="false" outlineLevel="0" collapsed="false">
      <c r="B20" s="55" t="s">
        <v>186</v>
      </c>
      <c r="D20" s="56" t="n">
        <f aca="false">D17+D19</f>
        <v>186.66</v>
      </c>
      <c r="E20" s="56" t="n">
        <f aca="false">E17+E19</f>
        <v>437.004</v>
      </c>
      <c r="F20" s="56" t="n">
        <f aca="false">F17+F19</f>
        <v>777.776</v>
      </c>
      <c r="G20" s="56" t="n">
        <f aca="false">G17+G19</f>
        <v>932.96928</v>
      </c>
      <c r="H20" s="56" t="n">
        <f aca="false">H17+H19</f>
        <v>815.33684</v>
      </c>
      <c r="I20" s="56" t="n">
        <f aca="false">I17+I19</f>
        <v>619.0842</v>
      </c>
      <c r="J20" s="56" t="n">
        <f aca="false">J17+J19</f>
        <v>413.1156</v>
      </c>
      <c r="K20" s="56" t="n">
        <f aca="false">K17+K19</f>
        <v>207.147</v>
      </c>
      <c r="L20" s="56" t="n">
        <f aca="false">L17+L19</f>
        <v>203.9034</v>
      </c>
      <c r="M20" s="56" t="n">
        <f aca="false">M17+M19</f>
        <v>200.6598</v>
      </c>
    </row>
    <row r="22" customFormat="false" ht="15" hidden="false" customHeight="false" outlineLevel="0" collapsed="false">
      <c r="B22" s="32" t="s">
        <v>187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</row>
    <row r="23" customFormat="false" ht="15" hidden="false" customHeight="false" outlineLevel="0" collapsed="false">
      <c r="B23" s="15" t="s">
        <v>172</v>
      </c>
      <c r="C23" s="16"/>
      <c r="D23" s="17" t="s">
        <v>13</v>
      </c>
      <c r="E23" s="17" t="s">
        <v>14</v>
      </c>
      <c r="F23" s="17" t="s">
        <v>15</v>
      </c>
      <c r="G23" s="17" t="s">
        <v>16</v>
      </c>
      <c r="H23" s="17" t="s">
        <v>17</v>
      </c>
      <c r="I23" s="17" t="s">
        <v>18</v>
      </c>
      <c r="J23" s="17" t="s">
        <v>19</v>
      </c>
      <c r="K23" s="17" t="s">
        <v>20</v>
      </c>
      <c r="L23" s="17" t="s">
        <v>21</v>
      </c>
      <c r="M23" s="17" t="s">
        <v>22</v>
      </c>
    </row>
    <row r="24" customFormat="false" ht="15" hidden="false" customHeight="false" outlineLevel="0" collapsed="false">
      <c r="B24" s="18" t="s">
        <v>188</v>
      </c>
      <c r="D24" s="38" t="n">
        <f aca="false">MAX(0,D17)</f>
        <v>186.66</v>
      </c>
      <c r="E24" s="38" t="n">
        <f aca="false">MAX(0,E17)</f>
        <v>174.654</v>
      </c>
      <c r="F24" s="38" t="n">
        <f aca="false">MAX(0,F17)</f>
        <v>171.986</v>
      </c>
      <c r="G24" s="38" t="n">
        <f aca="false">MAX(0,G17)</f>
        <v>198.38928</v>
      </c>
      <c r="H24" s="38" t="n">
        <f aca="false">MAX(0,H17)</f>
        <v>214.31684</v>
      </c>
      <c r="I24" s="38" t="n">
        <f aca="false">MAX(0,I17)</f>
        <v>213.6342</v>
      </c>
      <c r="J24" s="38" t="n">
        <f aca="false">MAX(0,J17)</f>
        <v>210.3906</v>
      </c>
      <c r="K24" s="38" t="n">
        <f aca="false">MAX(0,K17)</f>
        <v>207.147</v>
      </c>
      <c r="L24" s="38" t="n">
        <f aca="false">MAX(0,L17)</f>
        <v>203.9034</v>
      </c>
      <c r="M24" s="38" t="n">
        <f aca="false">MAX(0,M17)</f>
        <v>200.6598</v>
      </c>
    </row>
    <row r="25" customFormat="false" ht="15" hidden="false" customHeight="false" outlineLevel="0" collapsed="false">
      <c r="B25" s="21" t="s">
        <v>189</v>
      </c>
      <c r="D25" s="38" t="n">
        <f aca="false">Assumptions!$C$88</f>
        <v>4000</v>
      </c>
      <c r="E25" s="38" t="n">
        <f aca="false">D28</f>
        <v>3850.672</v>
      </c>
      <c r="F25" s="38" t="n">
        <f aca="false">E28</f>
        <v>3710.9488</v>
      </c>
      <c r="G25" s="38" t="n">
        <f aca="false">F28</f>
        <v>3573.36</v>
      </c>
      <c r="H25" s="38" t="n">
        <f aca="false">G28</f>
        <v>3414.648576</v>
      </c>
      <c r="I25" s="38" t="n">
        <f aca="false">H28</f>
        <v>3243.195104</v>
      </c>
      <c r="J25" s="38" t="n">
        <f aca="false">I28</f>
        <v>3072.287744</v>
      </c>
      <c r="K25" s="38" t="n">
        <f aca="false">J28</f>
        <v>2903.975264</v>
      </c>
      <c r="L25" s="38" t="n">
        <f aca="false">K28</f>
        <v>2738.257664</v>
      </c>
      <c r="M25" s="38" t="n">
        <f aca="false">L28</f>
        <v>2575.134944</v>
      </c>
    </row>
    <row r="26" customFormat="false" ht="15" hidden="false" customHeight="false" outlineLevel="0" collapsed="false">
      <c r="B26" s="21" t="s">
        <v>190</v>
      </c>
      <c r="D26" s="38" t="n">
        <f aca="false">MIN(D25,D24*Assumptions!$C$90)</f>
        <v>149.328</v>
      </c>
      <c r="E26" s="38" t="n">
        <f aca="false">MIN(E25,E24*Assumptions!$C$90)</f>
        <v>139.7232</v>
      </c>
      <c r="F26" s="38" t="n">
        <f aca="false">MIN(F25,F24*Assumptions!$C$90)</f>
        <v>137.5888</v>
      </c>
      <c r="G26" s="38" t="n">
        <f aca="false">MIN(G25,G24*Assumptions!$C$90)</f>
        <v>158.711424</v>
      </c>
      <c r="H26" s="38" t="n">
        <f aca="false">MIN(H25,H24*Assumptions!$C$90)</f>
        <v>171.453472</v>
      </c>
      <c r="I26" s="38" t="n">
        <f aca="false">MIN(I25,I24*Assumptions!$C$90)</f>
        <v>170.90736</v>
      </c>
      <c r="J26" s="38" t="n">
        <f aca="false">MIN(J25,J24*Assumptions!$C$90)</f>
        <v>168.31248</v>
      </c>
      <c r="K26" s="38" t="n">
        <f aca="false">MIN(K25,K24*Assumptions!$C$90)</f>
        <v>165.7176</v>
      </c>
      <c r="L26" s="38" t="n">
        <f aca="false">MIN(L25,L24*Assumptions!$C$90)</f>
        <v>163.12272</v>
      </c>
      <c r="M26" s="38" t="n">
        <f aca="false">MIN(M25,M24*Assumptions!$C$90)</f>
        <v>160.52784</v>
      </c>
    </row>
    <row r="27" customFormat="false" ht="15" hidden="false" customHeight="false" outlineLevel="0" collapsed="false">
      <c r="B27" s="21" t="s">
        <v>191</v>
      </c>
      <c r="D27" s="38" t="n">
        <f aca="false">MAX(0,-D17)</f>
        <v>0</v>
      </c>
      <c r="E27" s="38" t="n">
        <f aca="false">MAX(0,-E17)</f>
        <v>0</v>
      </c>
      <c r="F27" s="38" t="n">
        <f aca="false">MAX(0,-F17)</f>
        <v>0</v>
      </c>
      <c r="G27" s="38" t="n">
        <f aca="false">MAX(0,-G17)</f>
        <v>0</v>
      </c>
      <c r="H27" s="38" t="n">
        <f aca="false">MAX(0,-H17)</f>
        <v>0</v>
      </c>
      <c r="I27" s="38" t="n">
        <f aca="false">MAX(0,-I17)</f>
        <v>0</v>
      </c>
      <c r="J27" s="38" t="n">
        <f aca="false">MAX(0,-J17)</f>
        <v>0</v>
      </c>
      <c r="K27" s="38" t="n">
        <f aca="false">MAX(0,-K17)</f>
        <v>0</v>
      </c>
      <c r="L27" s="38" t="n">
        <f aca="false">MAX(0,-L17)</f>
        <v>0</v>
      </c>
      <c r="M27" s="38" t="n">
        <f aca="false">MAX(0,-M17)</f>
        <v>0</v>
      </c>
    </row>
    <row r="28" customFormat="false" ht="15" hidden="false" customHeight="false" outlineLevel="0" collapsed="false">
      <c r="B28" s="21" t="s">
        <v>192</v>
      </c>
      <c r="D28" s="38" t="n">
        <f aca="false">D25-D26+D27</f>
        <v>3850.672</v>
      </c>
      <c r="E28" s="38" t="n">
        <f aca="false">E25-E26+E27</f>
        <v>3710.9488</v>
      </c>
      <c r="F28" s="38" t="n">
        <f aca="false">F25-F26+F27</f>
        <v>3573.36</v>
      </c>
      <c r="G28" s="38" t="n">
        <f aca="false">G25-G26+G27</f>
        <v>3414.648576</v>
      </c>
      <c r="H28" s="38" t="n">
        <f aca="false">H25-H26+H27</f>
        <v>3243.195104</v>
      </c>
      <c r="I28" s="38" t="n">
        <f aca="false">I25-I26+I27</f>
        <v>3072.287744</v>
      </c>
      <c r="J28" s="38" t="n">
        <f aca="false">J25-J26+J27</f>
        <v>2903.975264</v>
      </c>
      <c r="K28" s="38" t="n">
        <f aca="false">K25-K26+K27</f>
        <v>2738.257664</v>
      </c>
      <c r="L28" s="38" t="n">
        <f aca="false">L25-L26+L27</f>
        <v>2575.134944</v>
      </c>
      <c r="M28" s="38" t="n">
        <f aca="false">M25-M26+M27</f>
        <v>2414.607104</v>
      </c>
    </row>
    <row r="29" customFormat="false" ht="15" hidden="false" customHeight="false" outlineLevel="0" collapsed="false">
      <c r="B29" s="18" t="s">
        <v>193</v>
      </c>
      <c r="D29" s="38" t="n">
        <f aca="false">D24-D26</f>
        <v>37.332</v>
      </c>
      <c r="E29" s="38" t="n">
        <f aca="false">E24-E26</f>
        <v>34.9308</v>
      </c>
      <c r="F29" s="38" t="n">
        <f aca="false">F24-F26</f>
        <v>34.3972</v>
      </c>
      <c r="G29" s="38" t="n">
        <f aca="false">G24-G26</f>
        <v>39.6778560000001</v>
      </c>
      <c r="H29" s="38" t="n">
        <f aca="false">H24-H26</f>
        <v>42.8633680000001</v>
      </c>
      <c r="I29" s="38" t="n">
        <f aca="false">I24-I26</f>
        <v>42.72684</v>
      </c>
      <c r="J29" s="38" t="n">
        <f aca="false">J24-J26</f>
        <v>42.07812</v>
      </c>
      <c r="K29" s="38" t="n">
        <f aca="false">K24-K26</f>
        <v>41.4294</v>
      </c>
      <c r="L29" s="38" t="n">
        <f aca="false">L24-L26</f>
        <v>40.78068</v>
      </c>
      <c r="M29" s="38" t="n">
        <f aca="false">M24-M26</f>
        <v>40.13196</v>
      </c>
    </row>
    <row r="30" customFormat="false" ht="15" hidden="false" customHeight="false" outlineLevel="0" collapsed="false">
      <c r="B30" s="18" t="s">
        <v>194</v>
      </c>
      <c r="D30" s="38" t="n">
        <f aca="false">-D29*Assumptions!$C$87</f>
        <v>-8.58636</v>
      </c>
      <c r="E30" s="38" t="n">
        <f aca="false">-E29*Assumptions!$C$87</f>
        <v>-8.034084</v>
      </c>
      <c r="F30" s="38" t="n">
        <f aca="false">-F29*Assumptions!$C$87</f>
        <v>-7.911356</v>
      </c>
      <c r="G30" s="38" t="n">
        <f aca="false">-G29*Assumptions!$C$87</f>
        <v>-9.12590688000002</v>
      </c>
      <c r="H30" s="38" t="n">
        <f aca="false">-H29*Assumptions!$C$87</f>
        <v>-9.85857464000002</v>
      </c>
      <c r="I30" s="38" t="n">
        <f aca="false">-I29*Assumptions!$C$87</f>
        <v>-9.82717320000001</v>
      </c>
      <c r="J30" s="38" t="n">
        <f aca="false">-J29*Assumptions!$C$87</f>
        <v>-9.67796759999999</v>
      </c>
      <c r="K30" s="38" t="n">
        <f aca="false">-K29*Assumptions!$C$87</f>
        <v>-9.528762</v>
      </c>
      <c r="L30" s="38" t="n">
        <f aca="false">-L29*Assumptions!$C$87</f>
        <v>-9.3795564</v>
      </c>
      <c r="M30" s="38" t="n">
        <f aca="false">-M29*Assumptions!$C$87</f>
        <v>-9.2303508</v>
      </c>
    </row>
    <row r="31" customFormat="false" ht="15" hidden="false" customHeight="false" outlineLevel="0" collapsed="false">
      <c r="B31" s="55" t="s">
        <v>195</v>
      </c>
      <c r="D31" s="56" t="n">
        <f aca="false">D20+D30</f>
        <v>178.07364</v>
      </c>
      <c r="E31" s="56" t="n">
        <f aca="false">E20+E30</f>
        <v>428.969916</v>
      </c>
      <c r="F31" s="56" t="n">
        <f aca="false">F20+F30</f>
        <v>769.864644</v>
      </c>
      <c r="G31" s="56" t="n">
        <f aca="false">G20+G30</f>
        <v>923.84337312</v>
      </c>
      <c r="H31" s="56" t="n">
        <f aca="false">H20+H30</f>
        <v>805.47826536</v>
      </c>
      <c r="I31" s="56" t="n">
        <f aca="false">I20+I30</f>
        <v>609.2570268</v>
      </c>
      <c r="J31" s="56" t="n">
        <f aca="false">J20+J30</f>
        <v>403.4376324</v>
      </c>
      <c r="K31" s="56" t="n">
        <f aca="false">K20+K30</f>
        <v>197.618238</v>
      </c>
      <c r="L31" s="56" t="n">
        <f aca="false">L20+L30</f>
        <v>194.5238436</v>
      </c>
      <c r="M31" s="56" t="n">
        <f aca="false">M20+M30</f>
        <v>191.4294492</v>
      </c>
    </row>
    <row r="32" customFormat="false" ht="15" hidden="false" customHeight="false" outlineLevel="0" collapsed="false">
      <c r="B32" s="21" t="s">
        <v>196</v>
      </c>
      <c r="D32" s="38" t="n">
        <f aca="false">-D15</f>
        <v>13.34</v>
      </c>
      <c r="E32" s="38" t="n">
        <f aca="false">-E15</f>
        <v>25.346</v>
      </c>
      <c r="F32" s="38" t="n">
        <f aca="false">-F15</f>
        <v>28.014</v>
      </c>
      <c r="G32" s="38" t="n">
        <f aca="false">-G15</f>
        <v>28.014</v>
      </c>
      <c r="H32" s="38" t="n">
        <f aca="false">-H15</f>
        <v>28.014</v>
      </c>
      <c r="I32" s="38" t="n">
        <f aca="false">-I15</f>
        <v>28.014</v>
      </c>
      <c r="J32" s="38" t="n">
        <f aca="false">-J15</f>
        <v>28.014</v>
      </c>
      <c r="K32" s="38" t="n">
        <f aca="false">-K15</f>
        <v>28.014</v>
      </c>
      <c r="L32" s="38" t="n">
        <f aca="false">-L15</f>
        <v>28.014</v>
      </c>
      <c r="M32" s="38" t="n">
        <f aca="false">-M15</f>
        <v>28.014</v>
      </c>
    </row>
    <row r="33" customFormat="false" ht="15" hidden="false" customHeight="false" outlineLevel="0" collapsed="false">
      <c r="B33" s="21" t="s">
        <v>197</v>
      </c>
      <c r="D33" s="38" t="n">
        <f aca="false">-D8*Assumptions!$C$83</f>
        <v>-0</v>
      </c>
      <c r="E33" s="38" t="n">
        <f aca="false">-E8*Assumptions!$C$83</f>
        <v>-27.1095</v>
      </c>
      <c r="F33" s="38" t="n">
        <f aca="false">-F8*Assumptions!$C$83</f>
        <v>-62.5983</v>
      </c>
      <c r="G33" s="38" t="n">
        <f aca="false">-G8*Assumptions!$C$83</f>
        <v>-74.92716</v>
      </c>
      <c r="H33" s="38" t="n">
        <f aca="false">-H8*Assumptions!$C$83</f>
        <v>-80.67024</v>
      </c>
      <c r="I33" s="38" t="n">
        <f aca="false">-I8*Assumptions!$C$83</f>
        <v>-80.5494</v>
      </c>
      <c r="J33" s="38" t="n">
        <f aca="false">-J8*Assumptions!$C$83</f>
        <v>-79.4682</v>
      </c>
      <c r="K33" s="38" t="n">
        <f aca="false">-K8*Assumptions!$C$83</f>
        <v>-78.387</v>
      </c>
      <c r="L33" s="38" t="n">
        <f aca="false">-L8*Assumptions!$C$83</f>
        <v>-77.3058</v>
      </c>
      <c r="M33" s="38" t="n">
        <f aca="false">-M8*Assumptions!$C$83</f>
        <v>-76.2246</v>
      </c>
    </row>
    <row r="34" customFormat="false" ht="15" hidden="false" customHeight="false" outlineLevel="0" collapsed="false">
      <c r="B34" s="21" t="s">
        <v>198</v>
      </c>
      <c r="D34" s="38" t="n">
        <f aca="false">-Assumptions!D53</f>
        <v>-200</v>
      </c>
      <c r="E34" s="38" t="n">
        <f aca="false">-Assumptions!E53</f>
        <v>-180</v>
      </c>
      <c r="F34" s="38" t="n">
        <f aca="false">-Assumptions!F53</f>
        <v>-40</v>
      </c>
      <c r="G34" s="38" t="n">
        <f aca="false">-Assumptions!G53</f>
        <v>-0</v>
      </c>
      <c r="H34" s="38" t="n">
        <f aca="false">-Assumptions!H53</f>
        <v>-0</v>
      </c>
      <c r="I34" s="38" t="n">
        <f aca="false">-Assumptions!I53</f>
        <v>-0</v>
      </c>
      <c r="J34" s="38" t="n">
        <f aca="false">-Assumptions!J53</f>
        <v>-0</v>
      </c>
      <c r="K34" s="38" t="n">
        <f aca="false">-Assumptions!K53</f>
        <v>-0</v>
      </c>
      <c r="L34" s="38" t="n">
        <f aca="false">-Assumptions!L53</f>
        <v>-0</v>
      </c>
      <c r="M34" s="38" t="n">
        <f aca="false">-Assumptions!M53</f>
        <v>-0</v>
      </c>
    </row>
    <row r="35" customFormat="false" ht="15" hidden="false" customHeight="false" outlineLevel="0" collapsed="false">
      <c r="B35" s="21" t="s">
        <v>199</v>
      </c>
      <c r="D35" s="38" t="n">
        <f aca="false">Assumptions!D53*Assumptions!$C$84</f>
        <v>20</v>
      </c>
      <c r="E35" s="38" t="n">
        <f aca="false">Assumptions!E53*Assumptions!$C$84</f>
        <v>18</v>
      </c>
      <c r="F35" s="38" t="n">
        <f aca="false">Assumptions!F53*Assumptions!$C$84</f>
        <v>4</v>
      </c>
      <c r="G35" s="38" t="n">
        <f aca="false">Assumptions!G53*Assumptions!$C$84</f>
        <v>0</v>
      </c>
      <c r="H35" s="38" t="n">
        <f aca="false">Assumptions!H53*Assumptions!$C$84</f>
        <v>0</v>
      </c>
      <c r="I35" s="38" t="n">
        <f aca="false">Assumptions!I53*Assumptions!$C$84</f>
        <v>0</v>
      </c>
      <c r="J35" s="38" t="n">
        <f aca="false">Assumptions!J53*Assumptions!$C$84</f>
        <v>0</v>
      </c>
      <c r="K35" s="38" t="n">
        <f aca="false">Assumptions!K53*Assumptions!$C$84</f>
        <v>0</v>
      </c>
      <c r="L35" s="38" t="n">
        <f aca="false">Assumptions!L53*Assumptions!$C$84</f>
        <v>0</v>
      </c>
      <c r="M35" s="38" t="n">
        <f aca="false">Assumptions!M53*Assumptions!$C$84</f>
        <v>0</v>
      </c>
    </row>
    <row r="36" customFormat="false" ht="15" hidden="false" customHeight="false" outlineLevel="0" collapsed="false">
      <c r="B36" s="21" t="s">
        <v>200</v>
      </c>
      <c r="D36" s="38" t="n">
        <f aca="false">D8*Assumptions!$C$86</f>
        <v>0</v>
      </c>
      <c r="E36" s="38" t="n">
        <f aca="false">E8*Assumptions!$C$86</f>
        <v>135.5475</v>
      </c>
      <c r="F36" s="38" t="n">
        <f aca="false">F8*Assumptions!$C$86</f>
        <v>312.9915</v>
      </c>
      <c r="G36" s="38" t="n">
        <f aca="false">G8*Assumptions!$C$86</f>
        <v>374.6358</v>
      </c>
      <c r="H36" s="38" t="n">
        <f aca="false">H8*Assumptions!$C$86</f>
        <v>403.3512</v>
      </c>
      <c r="I36" s="38" t="n">
        <f aca="false">I8*Assumptions!$C$86</f>
        <v>402.747</v>
      </c>
      <c r="J36" s="38" t="n">
        <f aca="false">J8*Assumptions!$C$86</f>
        <v>397.341</v>
      </c>
      <c r="K36" s="38" t="n">
        <f aca="false">K8*Assumptions!$C$86</f>
        <v>391.935</v>
      </c>
      <c r="L36" s="38" t="n">
        <f aca="false">L8*Assumptions!$C$86</f>
        <v>386.529</v>
      </c>
      <c r="M36" s="38" t="n">
        <f aca="false">M8*Assumptions!$C$86</f>
        <v>381.123</v>
      </c>
    </row>
    <row r="37" customFormat="false" ht="15" hidden="false" customHeight="false" outlineLevel="0" collapsed="false">
      <c r="B37" s="21" t="s">
        <v>201</v>
      </c>
      <c r="D37" s="38" t="n">
        <f aca="false">-D36</f>
        <v>-0</v>
      </c>
      <c r="E37" s="38" t="n">
        <f aca="false">-(E36-D36)</f>
        <v>-135.5475</v>
      </c>
      <c r="F37" s="38" t="n">
        <f aca="false">-(F36-E36)</f>
        <v>-177.444</v>
      </c>
      <c r="G37" s="38" t="n">
        <f aca="false">-(G36-F36)</f>
        <v>-61.6442999999999</v>
      </c>
      <c r="H37" s="38" t="n">
        <f aca="false">-(H36-G36)</f>
        <v>-28.7154</v>
      </c>
      <c r="I37" s="38" t="n">
        <f aca="false">-(I36-H36)</f>
        <v>0.604199999999935</v>
      </c>
      <c r="J37" s="38" t="n">
        <f aca="false">-(J36-I36)</f>
        <v>5.40600000000001</v>
      </c>
      <c r="K37" s="38" t="n">
        <f aca="false">-(K36-J36)</f>
        <v>5.40600000000001</v>
      </c>
      <c r="L37" s="38" t="n">
        <f aca="false">-(L36-K36)</f>
        <v>5.40600000000001</v>
      </c>
      <c r="M37" s="38" t="n">
        <f aca="false">-(M36-L36)</f>
        <v>5.40600000000001</v>
      </c>
    </row>
    <row r="38" customFormat="false" ht="15" hidden="false" customHeight="false" outlineLevel="0" collapsed="false">
      <c r="B38" s="58" t="s">
        <v>202</v>
      </c>
      <c r="D38" s="59" t="n">
        <f aca="false">D31+D32+D33+D34+D35+D37</f>
        <v>11.41364</v>
      </c>
      <c r="E38" s="59" t="n">
        <f aca="false">E31+E32+E33+E34+E35+E37</f>
        <v>129.658916</v>
      </c>
      <c r="F38" s="59" t="n">
        <f aca="false">F31+F32+F33+F34+F35+F37</f>
        <v>521.836344</v>
      </c>
      <c r="G38" s="59" t="n">
        <f aca="false">G31+G32+G33+G34+G35+G37</f>
        <v>815.28591312</v>
      </c>
      <c r="H38" s="59" t="n">
        <f aca="false">H31+H32+H33+H34+H35+H37</f>
        <v>724.10662536</v>
      </c>
      <c r="I38" s="59" t="n">
        <f aca="false">I31+I32+I33+I34+I35+I37</f>
        <v>557.3258268</v>
      </c>
      <c r="J38" s="59" t="n">
        <f aca="false">J31+J32+J33+J34+J35+J37</f>
        <v>357.3894324</v>
      </c>
      <c r="K38" s="59" t="n">
        <f aca="false">K31+K32+K33+K34+K35+K37</f>
        <v>152.651238</v>
      </c>
      <c r="L38" s="59" t="n">
        <f aca="false">L31+L32+L33+L34+L35+L37</f>
        <v>150.6380436</v>
      </c>
      <c r="M38" s="59" t="n">
        <f aca="false">M31+M32+M33+M34+M35+M37</f>
        <v>148.6248492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203</v>
      </c>
    </row>
    <row r="2" customFormat="false" ht="15" hidden="false" customHeight="false" outlineLevel="0" collapsed="false">
      <c r="B2" s="53" t="s">
        <v>204</v>
      </c>
    </row>
    <row r="4" customFormat="false" ht="15" hidden="false" customHeight="false" outlineLevel="0" collapsed="false">
      <c r="B4" s="12" t="s">
        <v>205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206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723.168</v>
      </c>
      <c r="G6" s="60" t="n">
        <f aca="false">Assumptions!G69*Assumptions!G72</f>
        <v>2300.1408</v>
      </c>
      <c r="H6" s="60" t="n">
        <f aca="false">Assumptions!H69*Assumptions!H72</f>
        <v>2935.44</v>
      </c>
      <c r="I6" s="60" t="n">
        <f aca="false">Assumptions!I69*Assumptions!I72</f>
        <v>3282.768</v>
      </c>
      <c r="J6" s="60" t="n">
        <f aca="false">Assumptions!J69*Assumptions!J72</f>
        <v>3238.704</v>
      </c>
      <c r="K6" s="60" t="n">
        <f aca="false">Assumptions!K69*Assumptions!K72</f>
        <v>3194.64</v>
      </c>
      <c r="L6" s="60" t="n">
        <f aca="false">Assumptions!L69*Assumptions!L72</f>
        <v>3150.576</v>
      </c>
      <c r="M6" s="60" t="n">
        <f aca="false">Assumptions!M69*Assumptions!M72</f>
        <v>3106.512</v>
      </c>
    </row>
    <row r="7" customFormat="false" ht="15" hidden="false" customHeight="false" outlineLevel="0" collapsed="false">
      <c r="B7" s="18" t="s">
        <v>207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75.33</v>
      </c>
      <c r="G7" s="60" t="n">
        <f aca="false">Assumptions!G70*Assumptions!G75</f>
        <v>239.598</v>
      </c>
      <c r="H7" s="60" t="n">
        <f aca="false">Assumptions!H70*Assumptions!H75</f>
        <v>305.775</v>
      </c>
      <c r="I7" s="60" t="n">
        <f aca="false">Assumptions!I70*Assumptions!I75</f>
        <v>341.955</v>
      </c>
      <c r="J7" s="60" t="n">
        <f aca="false">Assumptions!J70*Assumptions!J75</f>
        <v>337.365</v>
      </c>
      <c r="K7" s="60" t="n">
        <f aca="false">Assumptions!K70*Assumptions!K75</f>
        <v>332.775</v>
      </c>
      <c r="L7" s="60" t="n">
        <f aca="false">Assumptions!L70*Assumptions!L75</f>
        <v>328.185</v>
      </c>
      <c r="M7" s="60" t="n">
        <f aca="false">Assumptions!M70*Assumptions!M75</f>
        <v>323.595</v>
      </c>
    </row>
    <row r="8" customFormat="false" ht="15" hidden="false" customHeight="false" outlineLevel="0" collapsed="false">
      <c r="B8" s="55" t="s">
        <v>208</v>
      </c>
      <c r="D8" s="56" t="n">
        <f aca="false">D6+D7</f>
        <v>0</v>
      </c>
      <c r="E8" s="56" t="n">
        <f aca="false">E6+E7</f>
        <v>0</v>
      </c>
      <c r="F8" s="56" t="n">
        <f aca="false">F6+F7</f>
        <v>798.498</v>
      </c>
      <c r="G8" s="56" t="n">
        <f aca="false">G6+G7</f>
        <v>2539.7388</v>
      </c>
      <c r="H8" s="56" t="n">
        <f aca="false">H6+H7</f>
        <v>3241.215</v>
      </c>
      <c r="I8" s="56" t="n">
        <f aca="false">I6+I7</f>
        <v>3624.723</v>
      </c>
      <c r="J8" s="56" t="n">
        <f aca="false">J6+J7</f>
        <v>3576.069</v>
      </c>
      <c r="K8" s="56" t="n">
        <f aca="false">K6+K7</f>
        <v>3527.415</v>
      </c>
      <c r="L8" s="56" t="n">
        <f aca="false">L6+L7</f>
        <v>3478.761</v>
      </c>
      <c r="M8" s="56" t="n">
        <f aca="false">M6+M7</f>
        <v>3430.107</v>
      </c>
    </row>
    <row r="9" customFormat="false" ht="15" hidden="false" customHeight="false" outlineLevel="0" collapsed="false">
      <c r="B9" s="21" t="s">
        <v>209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-678.7233</v>
      </c>
      <c r="G9" s="38" t="n">
        <f aca="false">-(Assumptions!G69*Assumptions!G74+Assumptions!G70*Assumptions!G77)</f>
        <v>-2158.77798</v>
      </c>
      <c r="H9" s="38" t="n">
        <f aca="false">-(Assumptions!H69*Assumptions!H74+Assumptions!H70*Assumptions!H77)</f>
        <v>-2755.03275</v>
      </c>
      <c r="I9" s="38" t="n">
        <f aca="false">-(Assumptions!I69*Assumptions!I74+Assumptions!I70*Assumptions!I77)</f>
        <v>-3081.01455</v>
      </c>
      <c r="J9" s="38" t="n">
        <f aca="false">-(Assumptions!J69*Assumptions!J74+Assumptions!J70*Assumptions!J77)</f>
        <v>-3039.65865</v>
      </c>
      <c r="K9" s="38" t="n">
        <f aca="false">-(Assumptions!K69*Assumptions!K74+Assumptions!K70*Assumptions!K77)</f>
        <v>-2998.30275</v>
      </c>
      <c r="L9" s="38" t="n">
        <f aca="false">-(Assumptions!L69*Assumptions!L74+Assumptions!L70*Assumptions!L77)</f>
        <v>-2956.94685</v>
      </c>
      <c r="M9" s="38" t="n">
        <f aca="false">-(Assumptions!M69*Assumptions!M74+Assumptions!M70*Assumptions!M77)</f>
        <v>-2915.59095</v>
      </c>
    </row>
    <row r="10" customFormat="false" ht="15" hidden="false" customHeight="false" outlineLevel="0" collapsed="false">
      <c r="B10" s="12" t="s">
        <v>177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0</v>
      </c>
      <c r="F12" s="56" t="n">
        <f aca="false">F8+F9</f>
        <v>119.7747</v>
      </c>
      <c r="G12" s="56" t="n">
        <f aca="false">G8+G9</f>
        <v>380.96082</v>
      </c>
      <c r="H12" s="56" t="n">
        <f aca="false">H8+H9</f>
        <v>486.18225</v>
      </c>
      <c r="I12" s="56" t="n">
        <f aca="false">I8+I9</f>
        <v>543.70845</v>
      </c>
      <c r="J12" s="56" t="n">
        <f aca="false">J8+J9</f>
        <v>536.410350000001</v>
      </c>
      <c r="K12" s="56" t="n">
        <f aca="false">K8+K9</f>
        <v>529.11225</v>
      </c>
      <c r="L12" s="56" t="n">
        <f aca="false">L8+L9</f>
        <v>521.81415</v>
      </c>
      <c r="M12" s="56" t="n">
        <f aca="false">M8+M9</f>
        <v>514.51605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-47.90988</v>
      </c>
      <c r="G13" s="38" t="n">
        <f aca="false">-G8*Assumptions!$C$81</f>
        <v>-152.384328</v>
      </c>
      <c r="H13" s="38" t="n">
        <f aca="false">-H8*Assumptions!$C$81</f>
        <v>-194.4729</v>
      </c>
      <c r="I13" s="38" t="n">
        <f aca="false">-I8*Assumptions!$C$81</f>
        <v>-217.48338</v>
      </c>
      <c r="J13" s="38" t="n">
        <f aca="false">-J8*Assumptions!$C$81</f>
        <v>-214.56414</v>
      </c>
      <c r="K13" s="38" t="n">
        <f aca="false">-K8*Assumptions!$C$81</f>
        <v>-211.6449</v>
      </c>
      <c r="L13" s="38" t="n">
        <f aca="false">-L8*Assumptions!$C$81</f>
        <v>-208.72566</v>
      </c>
      <c r="M13" s="38" t="n">
        <f aca="false">-M8*Assumptions!$C$81</f>
        <v>-205.80642</v>
      </c>
    </row>
    <row r="14" customFormat="false" ht="15" hidden="false" customHeight="false" outlineLevel="0" collapsed="false">
      <c r="B14" s="21" t="s">
        <v>180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183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5.16482000000008</v>
      </c>
      <c r="G16" s="56" t="n">
        <f aca="false">G12+G13+G15</f>
        <v>161.876492</v>
      </c>
      <c r="H16" s="56" t="n">
        <f aca="false">H12+H13+H15</f>
        <v>225.00935</v>
      </c>
      <c r="I16" s="56" t="n">
        <f aca="false">I12+I13+I15</f>
        <v>259.52507</v>
      </c>
      <c r="J16" s="56" t="n">
        <f aca="false">J12+J13+J15</f>
        <v>255.146210000001</v>
      </c>
      <c r="K16" s="56" t="n">
        <f aca="false">K12+K13+K15</f>
        <v>250.76735</v>
      </c>
      <c r="L16" s="56" t="n">
        <f aca="false">L12+L13+L15</f>
        <v>246.38849</v>
      </c>
      <c r="M16" s="56" t="n">
        <f aca="false">M12+M13+M15</f>
        <v>242.00963</v>
      </c>
    </row>
    <row r="17" customFormat="false" ht="15" hidden="false" customHeight="false" outlineLevel="0" collapsed="false">
      <c r="B17" s="21" t="s">
        <v>184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0.0064681689872737</v>
      </c>
      <c r="G17" s="57" t="n">
        <f aca="false">IF(G8=0,0,G16/G8)</f>
        <v>0.0637374567809886</v>
      </c>
      <c r="H17" s="57" t="n">
        <f aca="false">IF(H8=0,0,H16/H8)</f>
        <v>0.0694212972604409</v>
      </c>
      <c r="I17" s="57" t="n">
        <f aca="false">IF(I8=0,0,I16/I8)</f>
        <v>0.0715985938787598</v>
      </c>
      <c r="J17" s="57" t="n">
        <f aca="false">IF(J8=0,0,J16/J8)</f>
        <v>0.0713482346118043</v>
      </c>
      <c r="K17" s="57" t="n">
        <f aca="false">IF(K8=0,0,K16/K8)</f>
        <v>0.0710909688823118</v>
      </c>
      <c r="L17" s="57" t="n">
        <f aca="false">IF(L8=0,0,L16/L8)</f>
        <v>0.0708265069086379</v>
      </c>
      <c r="M17" s="57" t="n">
        <f aca="false">IF(M8=0,0,M16/M8)</f>
        <v>0.0705545424676257</v>
      </c>
    </row>
    <row r="18" customFormat="false" ht="15" hidden="false" customHeight="false" outlineLevel="0" collapsed="false">
      <c r="B18" s="21" t="s">
        <v>185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240.57</v>
      </c>
      <c r="G18" s="38" t="n">
        <f aca="false">(Assumptions!G69+Assumptions!G70)*Assumptions!G8</f>
        <v>775.17</v>
      </c>
      <c r="H18" s="38" t="n">
        <f aca="false">(Assumptions!H69+Assumptions!H70)*Assumptions!H8</f>
        <v>751.78125</v>
      </c>
      <c r="I18" s="38" t="n">
        <f aca="false">(Assumptions!I69+Assumptions!I70)*Assumptions!I8</f>
        <v>568.0125</v>
      </c>
      <c r="J18" s="38" t="n">
        <f aca="false">(Assumptions!J69+Assumptions!J70)*Assumptions!J8</f>
        <v>284.00625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186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245.73482</v>
      </c>
      <c r="G19" s="56" t="n">
        <f aca="false">G16+G18</f>
        <v>937.046492</v>
      </c>
      <c r="H19" s="56" t="n">
        <f aca="false">H16+H18</f>
        <v>976.7906</v>
      </c>
      <c r="I19" s="56" t="n">
        <f aca="false">I16+I18</f>
        <v>827.53757</v>
      </c>
      <c r="J19" s="56" t="n">
        <f aca="false">J16+J18</f>
        <v>539.152460000001</v>
      </c>
      <c r="K19" s="56" t="n">
        <f aca="false">K16+K18</f>
        <v>250.76735</v>
      </c>
      <c r="L19" s="56" t="n">
        <f aca="false">L16+L18</f>
        <v>246.38849</v>
      </c>
      <c r="M19" s="56" t="n">
        <f aca="false">M16+M18</f>
        <v>242.00963</v>
      </c>
    </row>
    <row r="21" customFormat="false" ht="15" hidden="false" customHeight="false" outlineLevel="0" collapsed="false">
      <c r="B21" s="12" t="s">
        <v>187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172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188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5.16482000000008</v>
      </c>
      <c r="G23" s="38" t="n">
        <f aca="false">MAX(0,G16)</f>
        <v>161.876492</v>
      </c>
      <c r="H23" s="38" t="n">
        <f aca="false">MAX(0,H16)</f>
        <v>225.00935</v>
      </c>
      <c r="I23" s="38" t="n">
        <f aca="false">MAX(0,I16)</f>
        <v>259.52507</v>
      </c>
      <c r="J23" s="38" t="n">
        <f aca="false">MAX(0,J16)</f>
        <v>255.146210000001</v>
      </c>
      <c r="K23" s="38" t="n">
        <f aca="false">MAX(0,K16)</f>
        <v>250.76735</v>
      </c>
      <c r="L23" s="38" t="n">
        <f aca="false">MAX(0,L16)</f>
        <v>246.38849</v>
      </c>
      <c r="M23" s="38" t="n">
        <f aca="false">MAX(0,M16)</f>
        <v>242.00963</v>
      </c>
    </row>
    <row r="24" customFormat="false" ht="15" hidden="false" customHeight="false" outlineLevel="0" collapsed="false">
      <c r="B24" s="21" t="s">
        <v>189</v>
      </c>
      <c r="D24" s="38" t="n">
        <f aca="false">Assumptions!$C$89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55.8981439999999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190</v>
      </c>
      <c r="D25" s="38" t="n">
        <f aca="false">MIN(D24,D23*Assumptions!$C$90)</f>
        <v>0</v>
      </c>
      <c r="E25" s="38" t="n">
        <f aca="false">MIN(E24,E23*Assumptions!$C$90)</f>
        <v>0</v>
      </c>
      <c r="F25" s="38" t="n">
        <f aca="false">MIN(F24,F23*Assumptions!$C$90)</f>
        <v>4.13185600000006</v>
      </c>
      <c r="G25" s="38" t="n">
        <f aca="false">MIN(G24,G23*Assumptions!$C$90)</f>
        <v>55.8981439999999</v>
      </c>
      <c r="H25" s="38" t="n">
        <f aca="false">MIN(H24,H23*Assumptions!$C$90)</f>
        <v>0</v>
      </c>
      <c r="I25" s="38" t="n">
        <f aca="false">MIN(I24,I23*Assumptions!$C$90)</f>
        <v>0</v>
      </c>
      <c r="J25" s="38" t="n">
        <f aca="false">MIN(J24,J23*Assumptions!$C$90)</f>
        <v>0</v>
      </c>
      <c r="K25" s="38" t="n">
        <f aca="false">MIN(K24,K23*Assumptions!$C$90)</f>
        <v>0</v>
      </c>
      <c r="L25" s="38" t="n">
        <f aca="false">MIN(L24,L23*Assumptions!$C$90)</f>
        <v>0</v>
      </c>
      <c r="M25" s="38" t="n">
        <f aca="false">MIN(M24,M23*Assumptions!$C$90)</f>
        <v>0</v>
      </c>
    </row>
    <row r="26" customFormat="false" ht="15" hidden="false" customHeight="false" outlineLevel="0" collapsed="false">
      <c r="B26" s="21" t="s">
        <v>191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192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55.8981439999999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193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1.03296400000001</v>
      </c>
      <c r="G28" s="38" t="n">
        <f aca="false">G23-G25</f>
        <v>105.978348</v>
      </c>
      <c r="H28" s="38" t="n">
        <f aca="false">H23-H25</f>
        <v>225.00935</v>
      </c>
      <c r="I28" s="38" t="n">
        <f aca="false">I23-I25</f>
        <v>259.52507</v>
      </c>
      <c r="J28" s="38" t="n">
        <f aca="false">J23-J25</f>
        <v>255.146210000001</v>
      </c>
      <c r="K28" s="38" t="n">
        <f aca="false">K23-K25</f>
        <v>250.76735</v>
      </c>
      <c r="L28" s="38" t="n">
        <f aca="false">L23-L25</f>
        <v>246.38849</v>
      </c>
      <c r="M28" s="38" t="n">
        <f aca="false">M23-M25</f>
        <v>242.00963</v>
      </c>
    </row>
    <row r="29" customFormat="false" ht="15" hidden="false" customHeight="false" outlineLevel="0" collapsed="false">
      <c r="B29" s="18" t="s">
        <v>194</v>
      </c>
      <c r="D29" s="38" t="n">
        <f aca="false">-D28*Assumptions!$C$87</f>
        <v>-0</v>
      </c>
      <c r="E29" s="38" t="n">
        <f aca="false">-E28*Assumptions!$C$87</f>
        <v>-0</v>
      </c>
      <c r="F29" s="38" t="n">
        <f aca="false">-F28*Assumptions!$C$87</f>
        <v>-0.237581720000003</v>
      </c>
      <c r="G29" s="38" t="n">
        <f aca="false">-G28*Assumptions!$C$87</f>
        <v>-24.37502004</v>
      </c>
      <c r="H29" s="38" t="n">
        <f aca="false">-H28*Assumptions!$C$87</f>
        <v>-51.7521505</v>
      </c>
      <c r="I29" s="38" t="n">
        <f aca="false">-I28*Assumptions!$C$87</f>
        <v>-59.6907660999999</v>
      </c>
      <c r="J29" s="38" t="n">
        <f aca="false">-J28*Assumptions!$C$87</f>
        <v>-58.6836283000001</v>
      </c>
      <c r="K29" s="38" t="n">
        <f aca="false">-K28*Assumptions!$C$87</f>
        <v>-57.6764904999999</v>
      </c>
      <c r="L29" s="38" t="n">
        <f aca="false">-L28*Assumptions!$C$87</f>
        <v>-56.6693527000001</v>
      </c>
      <c r="M29" s="38" t="n">
        <f aca="false">-M28*Assumptions!$C$87</f>
        <v>-55.6622149</v>
      </c>
    </row>
    <row r="30" customFormat="false" ht="15" hidden="false" customHeight="false" outlineLevel="0" collapsed="false">
      <c r="B30" s="55" t="s">
        <v>195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245.49723828</v>
      </c>
      <c r="G30" s="56" t="n">
        <f aca="false">G19+G29</f>
        <v>912.67147196</v>
      </c>
      <c r="H30" s="56" t="n">
        <f aca="false">H19+H29</f>
        <v>925.0384495</v>
      </c>
      <c r="I30" s="56" t="n">
        <f aca="false">I19+I29</f>
        <v>767.8468039</v>
      </c>
      <c r="J30" s="56" t="n">
        <f aca="false">J19+J29</f>
        <v>480.4688317</v>
      </c>
      <c r="K30" s="56" t="n">
        <f aca="false">K19+K29</f>
        <v>193.0908595</v>
      </c>
      <c r="L30" s="56" t="n">
        <f aca="false">L19+L29</f>
        <v>189.7191373</v>
      </c>
      <c r="M30" s="56" t="n">
        <f aca="false">M19+M29</f>
        <v>186.3474151</v>
      </c>
    </row>
    <row r="31" customFormat="false" ht="15" hidden="false" customHeight="false" outlineLevel="0" collapsed="false">
      <c r="B31" s="21" t="s">
        <v>196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197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-23.95494</v>
      </c>
      <c r="G32" s="38" t="n">
        <f aca="false">-G8*Assumptions!$C$83</f>
        <v>-76.192164</v>
      </c>
      <c r="H32" s="38" t="n">
        <f aca="false">-H8*Assumptions!$C$83</f>
        <v>-97.23645</v>
      </c>
      <c r="I32" s="38" t="n">
        <f aca="false">-I8*Assumptions!$C$83</f>
        <v>-108.74169</v>
      </c>
      <c r="J32" s="38" t="n">
        <f aca="false">-J8*Assumptions!$C$83</f>
        <v>-107.28207</v>
      </c>
      <c r="K32" s="38" t="n">
        <f aca="false">-K8*Assumptions!$C$83</f>
        <v>-105.82245</v>
      </c>
      <c r="L32" s="38" t="n">
        <f aca="false">-L8*Assumptions!$C$83</f>
        <v>-104.36283</v>
      </c>
      <c r="M32" s="38" t="n">
        <f aca="false">-M8*Assumptions!$C$83</f>
        <v>-102.90321</v>
      </c>
    </row>
    <row r="33" customFormat="false" ht="15" hidden="false" customHeight="false" outlineLevel="0" collapsed="false">
      <c r="B33" s="21" t="s">
        <v>198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199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200</v>
      </c>
      <c r="D35" s="38" t="n">
        <f aca="false">D8*Assumptions!$C$86</f>
        <v>0</v>
      </c>
      <c r="E35" s="38" t="n">
        <f aca="false">E8*Assumptions!$C$86</f>
        <v>0</v>
      </c>
      <c r="F35" s="38" t="n">
        <f aca="false">F8*Assumptions!$C$86</f>
        <v>119.7747</v>
      </c>
      <c r="G35" s="38" t="n">
        <f aca="false">G8*Assumptions!$C$86</f>
        <v>380.96082</v>
      </c>
      <c r="H35" s="38" t="n">
        <f aca="false">H8*Assumptions!$C$86</f>
        <v>486.18225</v>
      </c>
      <c r="I35" s="38" t="n">
        <f aca="false">I8*Assumptions!$C$86</f>
        <v>543.70845</v>
      </c>
      <c r="J35" s="38" t="n">
        <f aca="false">J8*Assumptions!$C$86</f>
        <v>536.41035</v>
      </c>
      <c r="K35" s="38" t="n">
        <f aca="false">K8*Assumptions!$C$86</f>
        <v>529.11225</v>
      </c>
      <c r="L35" s="38" t="n">
        <f aca="false">L8*Assumptions!$C$86</f>
        <v>521.81415</v>
      </c>
      <c r="M35" s="38" t="n">
        <f aca="false">M8*Assumptions!$C$86</f>
        <v>514.51605</v>
      </c>
    </row>
    <row r="36" customFormat="false" ht="15" hidden="false" customHeight="false" outlineLevel="0" collapsed="false">
      <c r="B36" s="21" t="s">
        <v>201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-119.7747</v>
      </c>
      <c r="G36" s="38" t="n">
        <f aca="false">-(G35-F35)</f>
        <v>-261.18612</v>
      </c>
      <c r="H36" s="38" t="n">
        <f aca="false">-(H35-G35)</f>
        <v>-105.22143</v>
      </c>
      <c r="I36" s="38" t="n">
        <f aca="false">-(I35-H35)</f>
        <v>-57.5261999999999</v>
      </c>
      <c r="J36" s="38" t="n">
        <f aca="false">-(J35-I35)</f>
        <v>7.29809999999986</v>
      </c>
      <c r="K36" s="38" t="n">
        <f aca="false">-(K35-J35)</f>
        <v>7.29810000000009</v>
      </c>
      <c r="L36" s="38" t="n">
        <f aca="false">-(L35-K35)</f>
        <v>7.29809999999998</v>
      </c>
      <c r="M36" s="38" t="n">
        <f aca="false">-(M35-L35)</f>
        <v>7.29809999999998</v>
      </c>
    </row>
    <row r="37" customFormat="false" ht="15" hidden="false" customHeight="false" outlineLevel="0" collapsed="false">
      <c r="B37" s="58" t="s">
        <v>202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-101.53240172</v>
      </c>
      <c r="G37" s="59" t="n">
        <f aca="false">G30+G31+G32+G33+G34+G36</f>
        <v>641.99318796</v>
      </c>
      <c r="H37" s="59" t="n">
        <f aca="false">H30+H31+H32+H33+H34+H36</f>
        <v>789.2805695</v>
      </c>
      <c r="I37" s="59" t="n">
        <f aca="false">I30+I31+I32+I33+I34+I36</f>
        <v>668.2789139</v>
      </c>
      <c r="J37" s="59" t="n">
        <f aca="false">J30+J31+J32+J33+J34+J36</f>
        <v>447.1848617</v>
      </c>
      <c r="K37" s="59" t="n">
        <f aca="false">K30+K31+K32+K33+K34+K36</f>
        <v>161.2665095</v>
      </c>
      <c r="L37" s="59" t="n">
        <f aca="false">L30+L31+L32+L33+L34+L36</f>
        <v>159.3544073</v>
      </c>
      <c r="M37" s="59" t="n">
        <f aca="false">M30+M31+M32+M33+M34+M36</f>
        <v>157.4423051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53" t="s">
        <v>211</v>
      </c>
    </row>
    <row r="4" customFormat="false" ht="15" hidden="false" customHeight="false" outlineLevel="0" collapsed="false">
      <c r="B4" s="43" t="s">
        <v>212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213</v>
      </c>
      <c r="D6" s="62" t="n">
        <f aca="false">SKBA!D8</f>
        <v>0</v>
      </c>
      <c r="E6" s="62" t="n">
        <f aca="false">SKBA!E8</f>
        <v>903.65</v>
      </c>
      <c r="F6" s="62" t="n">
        <f aca="false">SKBA!F8</f>
        <v>2086.61</v>
      </c>
      <c r="G6" s="62" t="n">
        <f aca="false">SKBA!G8</f>
        <v>2497.572</v>
      </c>
      <c r="H6" s="62" t="n">
        <f aca="false">SKBA!H8</f>
        <v>2689.008</v>
      </c>
      <c r="I6" s="62" t="n">
        <f aca="false">SKBA!I8</f>
        <v>2684.98</v>
      </c>
      <c r="J6" s="62" t="n">
        <f aca="false">SKBA!J8</f>
        <v>2648.94</v>
      </c>
      <c r="K6" s="62" t="n">
        <f aca="false">SKBA!K8</f>
        <v>2612.9</v>
      </c>
      <c r="L6" s="62" t="n">
        <f aca="false">SKBA!L8</f>
        <v>2576.86</v>
      </c>
      <c r="M6" s="62" t="n">
        <f aca="false">SKBA!M8</f>
        <v>2540.82</v>
      </c>
    </row>
    <row r="7" customFormat="false" ht="15" hidden="false" customHeight="false" outlineLevel="0" collapsed="false">
      <c r="B7" s="63" t="s">
        <v>214</v>
      </c>
      <c r="D7" s="64" t="n">
        <f aca="false">SKOT!D8</f>
        <v>0</v>
      </c>
      <c r="E7" s="64" t="n">
        <f aca="false">SKOT!E8</f>
        <v>0</v>
      </c>
      <c r="F7" s="64" t="n">
        <f aca="false">SKOT!F8</f>
        <v>798.498</v>
      </c>
      <c r="G7" s="64" t="n">
        <f aca="false">SKOT!G8</f>
        <v>2539.7388</v>
      </c>
      <c r="H7" s="64" t="n">
        <f aca="false">SKOT!H8</f>
        <v>3241.215</v>
      </c>
      <c r="I7" s="64" t="n">
        <f aca="false">SKOT!I8</f>
        <v>3624.723</v>
      </c>
      <c r="J7" s="64" t="n">
        <f aca="false">SKOT!J8</f>
        <v>3576.069</v>
      </c>
      <c r="K7" s="64" t="n">
        <f aca="false">SKOT!K8</f>
        <v>3527.415</v>
      </c>
      <c r="L7" s="64" t="n">
        <f aca="false">SKOT!L8</f>
        <v>3478.761</v>
      </c>
      <c r="M7" s="64" t="n">
        <f aca="false">SKOT!M8</f>
        <v>3430.107</v>
      </c>
    </row>
    <row r="8" customFormat="false" ht="15" hidden="false" customHeight="false" outlineLevel="0" collapsed="false">
      <c r="B8" s="55" t="s">
        <v>215</v>
      </c>
      <c r="D8" s="56" t="n">
        <f aca="false">D6+D7</f>
        <v>0</v>
      </c>
      <c r="E8" s="56" t="n">
        <f aca="false">E6+E7</f>
        <v>903.65</v>
      </c>
      <c r="F8" s="56" t="n">
        <f aca="false">F6+F7</f>
        <v>2885.108</v>
      </c>
      <c r="G8" s="56" t="n">
        <f aca="false">G6+G7</f>
        <v>5037.3108</v>
      </c>
      <c r="H8" s="56" t="n">
        <f aca="false">H6+H7</f>
        <v>5930.223</v>
      </c>
      <c r="I8" s="56" t="n">
        <f aca="false">I6+I7</f>
        <v>6309.703</v>
      </c>
      <c r="J8" s="56" t="n">
        <f aca="false">J6+J7</f>
        <v>6225.009</v>
      </c>
      <c r="K8" s="56" t="n">
        <f aca="false">K6+K7</f>
        <v>6140.315</v>
      </c>
      <c r="L8" s="56" t="n">
        <f aca="false">L6+L7</f>
        <v>6055.621</v>
      </c>
      <c r="M8" s="56" t="n">
        <f aca="false">M6+M7</f>
        <v>5970.927</v>
      </c>
    </row>
    <row r="9" customFormat="false" ht="15" hidden="false" customHeight="false" outlineLevel="0" collapsed="false">
      <c r="B9" s="21" t="s">
        <v>216</v>
      </c>
      <c r="D9" s="54" t="n">
        <f aca="false">SKBA!D6+Assumptions!D69+Assumptions!D70</f>
        <v>0</v>
      </c>
      <c r="E9" s="54" t="n">
        <f aca="false">SKBA!E6+Assumptions!E69+Assumptions!E70</f>
        <v>5.83</v>
      </c>
      <c r="F9" s="54" t="n">
        <f aca="false">SKBA!F6+Assumptions!F69+Assumptions!F70</f>
        <v>18.808</v>
      </c>
      <c r="G9" s="54" t="n">
        <f aca="false">SKBA!G6+Assumptions!G69+Assumptions!G70</f>
        <v>33.55</v>
      </c>
      <c r="H9" s="54" t="n">
        <f aca="false">SKBA!H6+Assumptions!H69+Assumptions!H70</f>
        <v>40.083</v>
      </c>
      <c r="I9" s="54" t="n">
        <f aca="false">SKBA!I6+Assumptions!I69+Assumptions!I70</f>
        <v>43.265</v>
      </c>
      <c r="J9" s="54" t="n">
        <f aca="false">SKBA!J6+Assumptions!J69+Assumptions!J70</f>
        <v>43.265</v>
      </c>
      <c r="K9" s="54" t="n">
        <f aca="false">SKBA!K6+Assumptions!K69+Assumptions!K70</f>
        <v>43.265</v>
      </c>
      <c r="L9" s="54" t="n">
        <f aca="false">SKBA!L6+Assumptions!L69+Assumptions!L70</f>
        <v>43.265</v>
      </c>
      <c r="M9" s="54" t="n">
        <f aca="false">SKBA!M6+Assumptions!M69+Assumptions!M70</f>
        <v>43.265</v>
      </c>
    </row>
    <row r="11" customFormat="false" ht="15" hidden="false" customHeight="false" outlineLevel="0" collapsed="false">
      <c r="B11" s="43" t="s">
        <v>217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218</v>
      </c>
      <c r="D13" s="38" t="n">
        <f aca="false">SKBA!D17+SKOT!D16</f>
        <v>173.32</v>
      </c>
      <c r="E13" s="38" t="n">
        <f aca="false">SKBA!E17+SKOT!E16</f>
        <v>127.964</v>
      </c>
      <c r="F13" s="38" t="n">
        <f aca="false">SKBA!F17+SKOT!F16</f>
        <v>177.15082</v>
      </c>
      <c r="G13" s="38" t="n">
        <f aca="false">SKBA!G17+SKOT!G16</f>
        <v>360.265772</v>
      </c>
      <c r="H13" s="38" t="n">
        <f aca="false">SKBA!H17+SKOT!H16</f>
        <v>439.32619</v>
      </c>
      <c r="I13" s="38" t="n">
        <f aca="false">SKBA!I17+SKOT!I16</f>
        <v>473.15927</v>
      </c>
      <c r="J13" s="38" t="n">
        <f aca="false">SKBA!J17+SKOT!J16</f>
        <v>465.53681</v>
      </c>
      <c r="K13" s="38" t="n">
        <f aca="false">SKBA!K17+SKOT!K16</f>
        <v>457.91435</v>
      </c>
      <c r="L13" s="38" t="n">
        <f aca="false">SKBA!L17+SKOT!L16</f>
        <v>450.29189</v>
      </c>
      <c r="M13" s="38" t="n">
        <f aca="false">SKBA!M17+SKOT!M16</f>
        <v>442.66943</v>
      </c>
    </row>
    <row r="14" customFormat="false" ht="15" hidden="false" customHeight="false" outlineLevel="0" collapsed="false">
      <c r="B14" s="21" t="s">
        <v>184</v>
      </c>
      <c r="D14" s="57" t="n">
        <f aca="false">IF(D8=0,0,D13/D8)</f>
        <v>0</v>
      </c>
      <c r="E14" s="57" t="n">
        <f aca="false">IF(E8=0,0,E13/E8)</f>
        <v>0.141607923421679</v>
      </c>
      <c r="F14" s="57" t="n">
        <f aca="false">IF(F8=0,0,F13/F8)</f>
        <v>0.0614017984768681</v>
      </c>
      <c r="G14" s="57" t="n">
        <f aca="false">IF(G8=0,0,G13/G8)</f>
        <v>0.0715194647112106</v>
      </c>
      <c r="H14" s="57" t="n">
        <f aca="false">IF(H8=0,0,H13/H8)</f>
        <v>0.0740825749723072</v>
      </c>
      <c r="I14" s="57" t="n">
        <f aca="false">IF(I8=0,0,I13/I8)</f>
        <v>0.0749891508364181</v>
      </c>
      <c r="J14" s="57" t="n">
        <f aca="false">IF(J8=0,0,J13/J8)</f>
        <v>0.0747849215960974</v>
      </c>
      <c r="K14" s="57" t="n">
        <f aca="false">IF(K8=0,0,K13/K8)</f>
        <v>0.0745750584456986</v>
      </c>
      <c r="L14" s="57" t="n">
        <f aca="false">IF(L8=0,0,L13/L8)</f>
        <v>0.0743593249973868</v>
      </c>
      <c r="M14" s="57" t="n">
        <f aca="false">IF(M8=0,0,M13/M8)</f>
        <v>0.0741374714512504</v>
      </c>
    </row>
    <row r="15" customFormat="false" ht="15" hidden="false" customHeight="false" outlineLevel="0" collapsed="false">
      <c r="B15" s="21" t="s">
        <v>185</v>
      </c>
      <c r="D15" s="38" t="n">
        <f aca="false">SKBA!D19+SKOT!D18</f>
        <v>0</v>
      </c>
      <c r="E15" s="38" t="n">
        <f aca="false">SKBA!E19+SKOT!E18</f>
        <v>262.35</v>
      </c>
      <c r="F15" s="38" t="n">
        <f aca="false">SKBA!F19+SKOT!F18</f>
        <v>846.36</v>
      </c>
      <c r="G15" s="38" t="n">
        <f aca="false">SKBA!G19+SKOT!G18</f>
        <v>1509.75</v>
      </c>
      <c r="H15" s="38" t="n">
        <f aca="false">SKBA!H19+SKOT!H18</f>
        <v>1352.80125</v>
      </c>
      <c r="I15" s="38" t="n">
        <f aca="false">SKBA!I19+SKOT!I18</f>
        <v>973.4625</v>
      </c>
      <c r="J15" s="38" t="n">
        <f aca="false">SKBA!J19+SKOT!J18</f>
        <v>486.73125</v>
      </c>
      <c r="K15" s="38" t="n">
        <f aca="false">SKBA!K19+SKOT!K18</f>
        <v>0</v>
      </c>
      <c r="L15" s="38" t="n">
        <f aca="false">SKBA!L19+SKOT!L18</f>
        <v>0</v>
      </c>
      <c r="M15" s="38" t="n">
        <f aca="false">SKBA!M19+SKOT!M18</f>
        <v>0</v>
      </c>
    </row>
    <row r="16" customFormat="false" ht="15" hidden="false" customHeight="false" outlineLevel="0" collapsed="false">
      <c r="B16" s="55" t="s">
        <v>219</v>
      </c>
      <c r="D16" s="56" t="n">
        <f aca="false">SKBA!D20+SKOT!D19</f>
        <v>173.32</v>
      </c>
      <c r="E16" s="56" t="n">
        <f aca="false">SKBA!E20+SKOT!E19</f>
        <v>390.314</v>
      </c>
      <c r="F16" s="56" t="n">
        <f aca="false">SKBA!F20+SKOT!F19</f>
        <v>1023.51082</v>
      </c>
      <c r="G16" s="56" t="n">
        <f aca="false">SKBA!G20+SKOT!G19</f>
        <v>1870.015772</v>
      </c>
      <c r="H16" s="56" t="n">
        <f aca="false">SKBA!H20+SKOT!H19</f>
        <v>1792.12744</v>
      </c>
      <c r="I16" s="56" t="n">
        <f aca="false">SKBA!I20+SKOT!I19</f>
        <v>1446.62177</v>
      </c>
      <c r="J16" s="56" t="n">
        <f aca="false">SKBA!J20+SKOT!J19</f>
        <v>952.26806</v>
      </c>
      <c r="K16" s="56" t="n">
        <f aca="false">SKBA!K20+SKOT!K19</f>
        <v>457.91435</v>
      </c>
      <c r="L16" s="56" t="n">
        <f aca="false">SKBA!L20+SKOT!L19</f>
        <v>450.29189</v>
      </c>
      <c r="M16" s="56" t="n">
        <f aca="false">SKBA!M20+SKOT!M19</f>
        <v>442.66943</v>
      </c>
    </row>
    <row r="17" customFormat="false" ht="15" hidden="false" customHeight="false" outlineLevel="0" collapsed="false">
      <c r="B17" s="21" t="s">
        <v>220</v>
      </c>
      <c r="D17" s="57" t="n">
        <f aca="false">IF(D8=0,0,D16/D8)</f>
        <v>0</v>
      </c>
      <c r="E17" s="57" t="n">
        <f aca="false">IF(E8=0,0,E16/E8)</f>
        <v>0.43193050406684</v>
      </c>
      <c r="F17" s="57" t="n">
        <f aca="false">IF(F8=0,0,F16/F8)</f>
        <v>0.354756501316415</v>
      </c>
      <c r="G17" s="57" t="n">
        <f aca="false">IF(G8=0,0,G16/G8)</f>
        <v>0.371232954694795</v>
      </c>
      <c r="H17" s="57" t="n">
        <f aca="false">IF(H8=0,0,H16/H8)</f>
        <v>0.302202369118328</v>
      </c>
      <c r="I17" s="57" t="n">
        <f aca="false">IF(I8=0,0,I16/I8)</f>
        <v>0.229269391919081</v>
      </c>
      <c r="J17" s="57" t="n">
        <f aca="false">IF(J8=0,0,J16/J8)</f>
        <v>0.152974567586971</v>
      </c>
      <c r="K17" s="57" t="n">
        <f aca="false">IF(K8=0,0,K16/K8)</f>
        <v>0.0745750584456986</v>
      </c>
      <c r="L17" s="57" t="n">
        <f aca="false">IF(L8=0,0,L16/L8)</f>
        <v>0.0743593249973868</v>
      </c>
      <c r="M17" s="57" t="n">
        <f aca="false">IF(M8=0,0,M16/M8)</f>
        <v>0.0741374714512504</v>
      </c>
    </row>
    <row r="18" customFormat="false" ht="15" hidden="false" customHeight="false" outlineLevel="0" collapsed="false">
      <c r="B18" s="21" t="s">
        <v>196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221</v>
      </c>
      <c r="D19" s="56" t="n">
        <f aca="false">D16+D18</f>
        <v>200</v>
      </c>
      <c r="E19" s="56" t="n">
        <f aca="false">E16+E18</f>
        <v>462.35</v>
      </c>
      <c r="F19" s="56" t="n">
        <f aca="false">F16+F18</f>
        <v>1118.22482</v>
      </c>
      <c r="G19" s="56" t="n">
        <f aca="false">G16+G18</f>
        <v>1964.729772</v>
      </c>
      <c r="H19" s="56" t="n">
        <f aca="false">H16+H18</f>
        <v>1886.84144</v>
      </c>
      <c r="I19" s="56" t="n">
        <f aca="false">I16+I18</f>
        <v>1541.33577</v>
      </c>
      <c r="J19" s="56" t="n">
        <f aca="false">J16+J18</f>
        <v>1046.98206</v>
      </c>
      <c r="K19" s="56" t="n">
        <f aca="false">K16+K18</f>
        <v>552.62835</v>
      </c>
      <c r="L19" s="56" t="n">
        <f aca="false">L16+L18</f>
        <v>545.00589</v>
      </c>
      <c r="M19" s="56" t="n">
        <f aca="false">M16+M18</f>
        <v>537.38343</v>
      </c>
    </row>
    <row r="20" customFormat="false" ht="15" hidden="false" customHeight="false" outlineLevel="0" collapsed="false">
      <c r="B20" s="21" t="s">
        <v>222</v>
      </c>
      <c r="D20" s="57" t="n">
        <f aca="false">IF(D8=0,0,D19/D8)</f>
        <v>0</v>
      </c>
      <c r="E20" s="57" t="n">
        <f aca="false">IF(E8=0,0,E19/E8)</f>
        <v>0.511647208543131</v>
      </c>
      <c r="F20" s="57" t="n">
        <f aca="false">IF(F8=0,0,F19/F8)</f>
        <v>0.387585081736975</v>
      </c>
      <c r="G20" s="57" t="n">
        <f aca="false">IF(G8=0,0,G19/G8)</f>
        <v>0.390035447485194</v>
      </c>
      <c r="H20" s="57" t="n">
        <f aca="false">IF(H8=0,0,H19/H8)</f>
        <v>0.318173775252634</v>
      </c>
      <c r="I20" s="57" t="n">
        <f aca="false">IF(I8=0,0,I19/I8)</f>
        <v>0.244280241082663</v>
      </c>
      <c r="J20" s="57" t="n">
        <f aca="false">IF(J8=0,0,J19/J8)</f>
        <v>0.168189645990873</v>
      </c>
      <c r="K20" s="57" t="n">
        <f aca="false">IF(K8=0,0,K19/K8)</f>
        <v>0.0899999999999999</v>
      </c>
      <c r="L20" s="57" t="n">
        <f aca="false">IF(L8=0,0,L19/L8)</f>
        <v>0.09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223</v>
      </c>
      <c r="D21" s="39" t="n">
        <f aca="false">D19-D15</f>
        <v>200</v>
      </c>
      <c r="E21" s="39" t="n">
        <f aca="false">E19-E15</f>
        <v>200</v>
      </c>
      <c r="F21" s="39" t="n">
        <f aca="false">F19-F15</f>
        <v>271.86482</v>
      </c>
      <c r="G21" s="39" t="n">
        <f aca="false">G19-G15</f>
        <v>454.979772</v>
      </c>
      <c r="H21" s="39" t="n">
        <f aca="false">H19-H15</f>
        <v>534.04019</v>
      </c>
      <c r="I21" s="39" t="n">
        <f aca="false">I19-I15</f>
        <v>567.87327</v>
      </c>
      <c r="J21" s="39" t="n">
        <f aca="false">J19-J15</f>
        <v>560.25081</v>
      </c>
      <c r="K21" s="39" t="n">
        <f aca="false">K19-K15</f>
        <v>552.62835</v>
      </c>
      <c r="L21" s="39" t="n">
        <f aca="false">L19-L15</f>
        <v>545.00589</v>
      </c>
      <c r="M21" s="39" t="n">
        <f aca="false">M19-M15</f>
        <v>537.38343</v>
      </c>
    </row>
    <row r="22" customFormat="false" ht="15" hidden="false" customHeight="false" outlineLevel="0" collapsed="false">
      <c r="B22" s="21" t="s">
        <v>224</v>
      </c>
      <c r="D22" s="57" t="n">
        <f aca="false">IF(D8=0,0,D21/D8)</f>
        <v>0</v>
      </c>
      <c r="E22" s="57" t="n">
        <f aca="false">IF(E8=0,0,E21/E8)</f>
        <v>0.221324627897969</v>
      </c>
      <c r="F22" s="57" t="n">
        <f aca="false">IF(F8=0,0,F21/F8)</f>
        <v>0.0942303788974278</v>
      </c>
      <c r="G22" s="57" t="n">
        <f aca="false">IF(G8=0,0,G21/G8)</f>
        <v>0.0903219575016098</v>
      </c>
      <c r="H22" s="57" t="n">
        <f aca="false">IF(H8=0,0,H21/H8)</f>
        <v>0.0900539811066127</v>
      </c>
      <c r="I22" s="57" t="n">
        <f aca="false">IF(I8=0,0,I21/I8)</f>
        <v>0.09</v>
      </c>
      <c r="J22" s="57" t="n">
        <f aca="false">IF(J8=0,0,J21/J8)</f>
        <v>0.0900000000000001</v>
      </c>
      <c r="K22" s="57" t="n">
        <f aca="false">IF(K8=0,0,K21/K8)</f>
        <v>0.0899999999999999</v>
      </c>
      <c r="L22" s="57" t="n">
        <f aca="false">IF(L8=0,0,L21/L8)</f>
        <v>0.09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172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225</v>
      </c>
      <c r="D26" s="66" t="n">
        <f aca="false">SKBA!D38</f>
        <v>11.41364</v>
      </c>
      <c r="E26" s="66" t="n">
        <f aca="false">SKBA!E38</f>
        <v>129.658916</v>
      </c>
      <c r="F26" s="66" t="n">
        <f aca="false">SKBA!F38</f>
        <v>521.836344</v>
      </c>
      <c r="G26" s="66" t="n">
        <f aca="false">SKBA!G38</f>
        <v>815.28591312</v>
      </c>
      <c r="H26" s="66" t="n">
        <f aca="false">SKBA!H38</f>
        <v>724.10662536</v>
      </c>
      <c r="I26" s="66" t="n">
        <f aca="false">SKBA!I38</f>
        <v>557.3258268</v>
      </c>
      <c r="J26" s="66" t="n">
        <f aca="false">SKBA!J38</f>
        <v>357.3894324</v>
      </c>
      <c r="K26" s="66" t="n">
        <f aca="false">SKBA!K38</f>
        <v>152.651238</v>
      </c>
      <c r="L26" s="66" t="n">
        <f aca="false">SKBA!L38</f>
        <v>150.6380436</v>
      </c>
      <c r="M26" s="66" t="n">
        <f aca="false">SKBA!M38</f>
        <v>148.6248492</v>
      </c>
    </row>
    <row r="27" customFormat="false" ht="15" hidden="false" customHeight="false" outlineLevel="0" collapsed="false">
      <c r="B27" s="21" t="s">
        <v>226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-101.53240172</v>
      </c>
      <c r="G27" s="66" t="n">
        <f aca="false">SKOT!G37</f>
        <v>641.99318796</v>
      </c>
      <c r="H27" s="66" t="n">
        <f aca="false">SKOT!H37</f>
        <v>789.2805695</v>
      </c>
      <c r="I27" s="66" t="n">
        <f aca="false">SKOT!I37</f>
        <v>668.2789139</v>
      </c>
      <c r="J27" s="66" t="n">
        <f aca="false">SKOT!J37</f>
        <v>447.1848617</v>
      </c>
      <c r="K27" s="66" t="n">
        <f aca="false">SKOT!K37</f>
        <v>161.2665095</v>
      </c>
      <c r="L27" s="66" t="n">
        <f aca="false">SKOT!L37</f>
        <v>159.3544073</v>
      </c>
      <c r="M27" s="66" t="n">
        <f aca="false">SKOT!M37</f>
        <v>157.4423051</v>
      </c>
    </row>
    <row r="28" customFormat="false" ht="15" hidden="false" customHeight="false" outlineLevel="0" collapsed="false">
      <c r="B28" s="58" t="s">
        <v>227</v>
      </c>
      <c r="D28" s="59" t="n">
        <f aca="false">D26+D27</f>
        <v>-168.58636</v>
      </c>
      <c r="E28" s="59" t="n">
        <f aca="false">E26+E27</f>
        <v>-320.341084</v>
      </c>
      <c r="F28" s="59" t="n">
        <f aca="false">F26+F27</f>
        <v>420.30394228</v>
      </c>
      <c r="G28" s="59" t="n">
        <f aca="false">G26+G27</f>
        <v>1457.27910108</v>
      </c>
      <c r="H28" s="59" t="n">
        <f aca="false">H26+H27</f>
        <v>1513.38719486</v>
      </c>
      <c r="I28" s="59" t="n">
        <f aca="false">I26+I27</f>
        <v>1225.6047407</v>
      </c>
      <c r="J28" s="59" t="n">
        <f aca="false">J26+J27</f>
        <v>804.5742941</v>
      </c>
      <c r="K28" s="59" t="n">
        <f aca="false">K26+K27</f>
        <v>313.9177475</v>
      </c>
      <c r="L28" s="59" t="n">
        <f aca="false">L26+L27</f>
        <v>309.9924509</v>
      </c>
      <c r="M28" s="59" t="n">
        <f aca="false">M26+M27</f>
        <v>306.0671543</v>
      </c>
    </row>
    <row r="30" customFormat="false" ht="15" hidden="false" customHeight="false" outlineLevel="0" collapsed="false">
      <c r="B30" s="4" t="s">
        <v>228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172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229</v>
      </c>
      <c r="D32" s="38" t="n">
        <f aca="false">-Assumptions!$C$103*Assumptions!$C$104</f>
        <v>-55.38</v>
      </c>
      <c r="E32" s="38" t="n">
        <f aca="false">-Assumptions!$C$103*Assumptions!$C$104</f>
        <v>-55.38</v>
      </c>
      <c r="F32" s="38" t="n">
        <f aca="false">-Assumptions!$C$103*Assumptions!$C$104</f>
        <v>-55.38</v>
      </c>
      <c r="G32" s="38" t="n">
        <f aca="false">-Assumptions!$C$103*Assumptions!$C$104</f>
        <v>-55.38</v>
      </c>
      <c r="H32" s="38" t="n">
        <f aca="false">-Assumptions!$C$103*Assumptions!$C$104</f>
        <v>-55.38</v>
      </c>
      <c r="I32" s="38" t="n">
        <f aca="false">-Assumptions!$C$103*Assumptions!$C$104</f>
        <v>-55.38</v>
      </c>
      <c r="J32" s="38" t="n">
        <f aca="false">-Assumptions!$C$103*Assumptions!$C$104</f>
        <v>-55.38</v>
      </c>
      <c r="K32" s="38" t="n">
        <f aca="false">-Assumptions!$C$103*Assumptions!$C$104</f>
        <v>-55.38</v>
      </c>
      <c r="L32" s="38" t="n">
        <f aca="false">-Assumptions!$C$103*Assumptions!$C$104</f>
        <v>-55.38</v>
      </c>
      <c r="M32" s="38" t="n">
        <f aca="false">-Assumptions!$C$103*Assumptions!$C$104</f>
        <v>-55.38</v>
      </c>
    </row>
    <row r="33" customFormat="false" ht="15" hidden="false" customHeight="false" outlineLevel="0" collapsed="false">
      <c r="B33" s="21" t="s">
        <v>230</v>
      </c>
      <c r="D33" s="38" t="n">
        <f aca="false">-D32*Assumptions!$C$87</f>
        <v>12.7374</v>
      </c>
      <c r="E33" s="38" t="n">
        <f aca="false">-E32*Assumptions!$C$87</f>
        <v>12.7374</v>
      </c>
      <c r="F33" s="38" t="n">
        <f aca="false">-F32*Assumptions!$C$87</f>
        <v>12.7374</v>
      </c>
      <c r="G33" s="38" t="n">
        <f aca="false">-G32*Assumptions!$C$87</f>
        <v>12.7374</v>
      </c>
      <c r="H33" s="38" t="n">
        <f aca="false">-H32*Assumptions!$C$87</f>
        <v>12.7374</v>
      </c>
      <c r="I33" s="38" t="n">
        <f aca="false">-I32*Assumptions!$C$87</f>
        <v>12.7374</v>
      </c>
      <c r="J33" s="38" t="n">
        <f aca="false">-J32*Assumptions!$C$87</f>
        <v>12.7374</v>
      </c>
      <c r="K33" s="38" t="n">
        <f aca="false">-K32*Assumptions!$C$87</f>
        <v>12.7374</v>
      </c>
      <c r="L33" s="38" t="n">
        <f aca="false">-L32*Assumptions!$C$87</f>
        <v>12.7374</v>
      </c>
      <c r="M33" s="38" t="n">
        <f aca="false">-M32*Assumptions!$C$87</f>
        <v>12.7374</v>
      </c>
    </row>
    <row r="34" customFormat="false" ht="15" hidden="false" customHeight="false" outlineLevel="0" collapsed="false">
      <c r="B34" s="21" t="s">
        <v>231</v>
      </c>
      <c r="D34" s="38" t="n">
        <f aca="false">-Assumptions!$C$105*Assumptions!$C$101</f>
        <v>-0</v>
      </c>
      <c r="E34" s="38" t="n">
        <f aca="false">-Assumptions!$C$105*Assumptions!$C$101</f>
        <v>-0</v>
      </c>
      <c r="F34" s="38" t="n">
        <f aca="false">-Assumptions!$C$105*Assumptions!$C$101</f>
        <v>-0</v>
      </c>
      <c r="G34" s="38" t="n">
        <f aca="false">-Assumptions!$C$105*Assumptions!$C$101</f>
        <v>-0</v>
      </c>
      <c r="H34" s="38" t="n">
        <f aca="false">-Assumptions!$C$105*Assumptions!$C$101</f>
        <v>-0</v>
      </c>
      <c r="I34" s="38" t="n">
        <f aca="false">-Assumptions!$C$105*Assumptions!$C$101</f>
        <v>-0</v>
      </c>
      <c r="J34" s="38" t="n">
        <f aca="false">-Assumptions!$C$105*Assumptions!$C$101</f>
        <v>-0</v>
      </c>
      <c r="K34" s="38" t="n">
        <f aca="false">-Assumptions!$C$105*Assumptions!$C$101</f>
        <v>-0</v>
      </c>
      <c r="L34" s="38" t="n">
        <f aca="false">-Assumptions!$C$105*Assumptions!$C$101</f>
        <v>-0</v>
      </c>
      <c r="M34" s="38" t="n">
        <f aca="false">-Assumptions!$C$105*Assumptions!$C$101</f>
        <v>-0</v>
      </c>
    </row>
    <row r="35" customFormat="false" ht="15" hidden="false" customHeight="false" outlineLevel="0" collapsed="false">
      <c r="B35" s="55" t="s">
        <v>232</v>
      </c>
      <c r="D35" s="56" t="n">
        <f aca="false">D26+D32+D33+D34</f>
        <v>-31.22896</v>
      </c>
      <c r="E35" s="56" t="n">
        <f aca="false">E26+E32+E33+E34</f>
        <v>87.016316</v>
      </c>
      <c r="F35" s="56" t="n">
        <f aca="false">F26+F32+F33+F34</f>
        <v>479.193744</v>
      </c>
      <c r="G35" s="56" t="n">
        <f aca="false">G26+G32+G33+G34</f>
        <v>772.64331312</v>
      </c>
      <c r="H35" s="56" t="n">
        <f aca="false">H26+H32+H33+H34</f>
        <v>681.46402536</v>
      </c>
      <c r="I35" s="56" t="n">
        <f aca="false">I26+I32+I33+I34</f>
        <v>514.6832268</v>
      </c>
      <c r="J35" s="56" t="n">
        <f aca="false">J26+J32+J33+J34</f>
        <v>314.7468324</v>
      </c>
      <c r="K35" s="56" t="n">
        <f aca="false">K26+K32+K33+K34</f>
        <v>110.008638</v>
      </c>
      <c r="L35" s="56" t="n">
        <f aca="false">L26+L32+L33+L34</f>
        <v>107.9954436</v>
      </c>
      <c r="M35" s="56" t="n">
        <f aca="false">M26+M32+M33+M34</f>
        <v>105.9822492</v>
      </c>
    </row>
    <row r="36" customFormat="false" ht="15" hidden="false" customHeight="false" outlineLevel="0" collapsed="false">
      <c r="B36" s="21" t="s">
        <v>233</v>
      </c>
      <c r="D36" s="38" t="n">
        <f aca="false">-Assumptions!$C$107*Assumptions!$C$108</f>
        <v>-200</v>
      </c>
      <c r="E36" s="38" t="n">
        <f aca="false">-Assumptions!$C$107*Assumptions!$C$108</f>
        <v>-200</v>
      </c>
      <c r="F36" s="38" t="n">
        <f aca="false">-Assumptions!$C$107*Assumptions!$C$108</f>
        <v>-200</v>
      </c>
      <c r="G36" s="38" t="n">
        <f aca="false">-Assumptions!$C$107*Assumptions!$C$108</f>
        <v>-200</v>
      </c>
      <c r="H36" s="38" t="n">
        <f aca="false">-Assumptions!$C$107*Assumptions!$C$108</f>
        <v>-200</v>
      </c>
      <c r="I36" s="38" t="n">
        <f aca="false">-Assumptions!$C$107*Assumptions!$C$108</f>
        <v>-200</v>
      </c>
      <c r="J36" s="38" t="n">
        <f aca="false">-Assumptions!$C$107*Assumptions!$C$108</f>
        <v>-200</v>
      </c>
      <c r="K36" s="38" t="n">
        <f aca="false">-Assumptions!$C$107*Assumptions!$C$108</f>
        <v>-200</v>
      </c>
      <c r="L36" s="38" t="n">
        <f aca="false">-Assumptions!$C$107*Assumptions!$C$108</f>
        <v>-200</v>
      </c>
      <c r="M36" s="38" t="n">
        <f aca="false">-Assumptions!$C$107*Assumptions!$C$108</f>
        <v>-200</v>
      </c>
    </row>
    <row r="37" customFormat="false" ht="15" hidden="false" customHeight="false" outlineLevel="0" collapsed="false">
      <c r="B37" s="21" t="s">
        <v>234</v>
      </c>
      <c r="D37" s="38" t="n">
        <f aca="false">-D36*Assumptions!$C$87</f>
        <v>46</v>
      </c>
      <c r="E37" s="38" t="n">
        <f aca="false">-E36*Assumptions!$C$87</f>
        <v>46</v>
      </c>
      <c r="F37" s="38" t="n">
        <f aca="false">-F36*Assumptions!$C$87</f>
        <v>46</v>
      </c>
      <c r="G37" s="38" t="n">
        <f aca="false">-G36*Assumptions!$C$87</f>
        <v>46</v>
      </c>
      <c r="H37" s="38" t="n">
        <f aca="false">-H36*Assumptions!$C$87</f>
        <v>46</v>
      </c>
      <c r="I37" s="38" t="n">
        <f aca="false">-I36*Assumptions!$C$87</f>
        <v>46</v>
      </c>
      <c r="J37" s="38" t="n">
        <f aca="false">-J36*Assumptions!$C$87</f>
        <v>46</v>
      </c>
      <c r="K37" s="38" t="n">
        <f aca="false">-K36*Assumptions!$C$87</f>
        <v>46</v>
      </c>
      <c r="L37" s="38" t="n">
        <f aca="false">-L36*Assumptions!$C$87</f>
        <v>46</v>
      </c>
      <c r="M37" s="38" t="n">
        <f aca="false">-M36*Assumptions!$C$87</f>
        <v>46</v>
      </c>
    </row>
    <row r="38" customFormat="false" ht="15" hidden="false" customHeight="false" outlineLevel="0" collapsed="false">
      <c r="B38" s="18" t="s">
        <v>235</v>
      </c>
      <c r="D38" s="38" t="n">
        <f aca="false">Assumptions!$C$109/(Assumptions!$C$112-Assumptions!$C$111+1)</f>
        <v>0</v>
      </c>
      <c r="E38" s="38" t="n">
        <f aca="false">Assumptions!$C$109/(Assumptions!$C$112-Assumptions!$C$111+1)</f>
        <v>0</v>
      </c>
      <c r="F38" s="38" t="n">
        <f aca="false">Assumptions!$C$109/(Assumptions!$C$112-Assumptions!$C$111+1)</f>
        <v>0</v>
      </c>
      <c r="G38" s="38" t="n">
        <f aca="false">Assumptions!$C$109/(Assumptions!$C$112-Assumptions!$C$111+1)</f>
        <v>0</v>
      </c>
      <c r="H38" s="38" t="n">
        <f aca="false">Assumptions!$C$109/(Assumptions!$C$112-Assumptions!$C$111+1)</f>
        <v>0</v>
      </c>
      <c r="I38" s="38" t="n">
        <f aca="false">Assumptions!$C$109/(Assumptions!$C$112-Assumptions!$C$111+1)</f>
        <v>0</v>
      </c>
      <c r="J38" s="38" t="n">
        <f aca="false">Assumptions!$C$109/(Assumptions!$C$112-Assumptions!$C$111+1)</f>
        <v>0</v>
      </c>
      <c r="K38" s="38" t="n">
        <f aca="false">Assumptions!$C$109/(Assumptions!$C$112-Assumptions!$C$111+1)</f>
        <v>0</v>
      </c>
      <c r="L38" s="38" t="n">
        <f aca="false">Assumptions!$C$109/(Assumptions!$C$112-Assumptions!$C$111+1)</f>
        <v>0</v>
      </c>
      <c r="M38" s="38" t="n">
        <f aca="false">Assumptions!$C$109/(Assumptions!$C$112-Assumptions!$C$111+1)</f>
        <v>0</v>
      </c>
    </row>
    <row r="39" customFormat="false" ht="15" hidden="false" customHeight="false" outlineLevel="0" collapsed="false">
      <c r="B39" s="18" t="s">
        <v>236</v>
      </c>
      <c r="D39" s="38" t="n">
        <f aca="false">MAX(0,Assumptions!$C$109-D38*MAX(0,MIN((2026)-Assumptions!$C$111,Assumptions!$C$112-Assumptions!$C$111+1)))</f>
        <v>0</v>
      </c>
      <c r="E39" s="38" t="n">
        <f aca="false">MAX(0,Assumptions!$C$109-E38*MAX(0,MIN((2027)-Assumptions!$C$111,Assumptions!$C$112-Assumptions!$C$111+1)))</f>
        <v>0</v>
      </c>
      <c r="F39" s="38" t="n">
        <f aca="false">MAX(0,Assumptions!$C$109-F38*MAX(0,MIN((2028)-Assumptions!$C$111,Assumptions!$C$112-Assumptions!$C$111+1)))</f>
        <v>0</v>
      </c>
      <c r="G39" s="38" t="n">
        <f aca="false">MAX(0,Assumptions!$C$109-G38*MAX(0,MIN((2029)-Assumptions!$C$111,Assumptions!$C$112-Assumptions!$C$111+1)))</f>
        <v>0</v>
      </c>
      <c r="H39" s="38" t="n">
        <f aca="false">MAX(0,Assumptions!$C$109-H38*MAX(0,MIN((2030)-Assumptions!$C$111,Assumptions!$C$112-Assumptions!$C$111+1)))</f>
        <v>0</v>
      </c>
      <c r="I39" s="38" t="n">
        <f aca="false">MAX(0,Assumptions!$C$109-I38*MAX(0,MIN((2031)-Assumptions!$C$111,Assumptions!$C$112-Assumptions!$C$111+1)))</f>
        <v>0</v>
      </c>
      <c r="J39" s="38" t="n">
        <f aca="false">MAX(0,Assumptions!$C$109-J38*MAX(0,MIN((2032)-Assumptions!$C$111,Assumptions!$C$112-Assumptions!$C$111+1)))</f>
        <v>0</v>
      </c>
      <c r="K39" s="38" t="n">
        <f aca="false">MAX(0,Assumptions!$C$109-K38*MAX(0,MIN((2033)-Assumptions!$C$111,Assumptions!$C$112-Assumptions!$C$111+1)))</f>
        <v>0</v>
      </c>
      <c r="L39" s="38" t="n">
        <f aca="false">MAX(0,Assumptions!$C$109-L38*MAX(0,MIN((2034)-Assumptions!$C$111,Assumptions!$C$112-Assumptions!$C$111+1)))</f>
        <v>0</v>
      </c>
      <c r="M39" s="38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8" t="s">
        <v>237</v>
      </c>
      <c r="D40" s="38" t="n">
        <f aca="false">-IF(AND((2026)&gt;=Assumptions!$C$111,(2026)&lt;=Assumptions!$C$112),MIN(D39,D38),0)</f>
        <v>-0</v>
      </c>
      <c r="E40" s="38" t="n">
        <f aca="false">-IF(AND((2027)&gt;=Assumptions!$C$111,(2027)&lt;=Assumptions!$C$112),MIN(E39,E38),0)</f>
        <v>-0</v>
      </c>
      <c r="F40" s="38" t="n">
        <f aca="false">-IF(AND((2028)&gt;=Assumptions!$C$111,(2028)&lt;=Assumptions!$C$112),MIN(F39,F38),0)</f>
        <v>-0</v>
      </c>
      <c r="G40" s="38" t="n">
        <f aca="false">-IF(AND((2029)&gt;=Assumptions!$C$111,(2029)&lt;=Assumptions!$C$112),MIN(G39,G38),0)</f>
        <v>-0</v>
      </c>
      <c r="H40" s="38" t="n">
        <f aca="false">-IF(AND((2030)&gt;=Assumptions!$C$111,(2030)&lt;=Assumptions!$C$112),MIN(H39,H38),0)</f>
        <v>-0</v>
      </c>
      <c r="I40" s="38" t="n">
        <f aca="false">-IF(AND((2031)&gt;=Assumptions!$C$111,(2031)&lt;=Assumptions!$C$112),MIN(I39,I38),0)</f>
        <v>-0</v>
      </c>
      <c r="J40" s="38" t="n">
        <f aca="false">-IF(AND((2032)&gt;=Assumptions!$C$111,(2032)&lt;=Assumptions!$C$112),MIN(J39,J38),0)</f>
        <v>-0</v>
      </c>
      <c r="K40" s="38" t="n">
        <f aca="false">-IF(AND((2033)&gt;=Assumptions!$C$111,(2033)&lt;=Assumptions!$C$112),MIN(K39,K38),0)</f>
        <v>-0</v>
      </c>
      <c r="L40" s="38" t="n">
        <f aca="false">-IF(AND((2034)&gt;=Assumptions!$C$111,(2034)&lt;=Assumptions!$C$112),MIN(L39,L38),0)</f>
        <v>-0</v>
      </c>
      <c r="M40" s="38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1" t="s">
        <v>238</v>
      </c>
      <c r="D41" s="38" t="n">
        <f aca="false">-D39*Assumptions!$C$110</f>
        <v>-0</v>
      </c>
      <c r="E41" s="38" t="n">
        <f aca="false">-E39*Assumptions!$C$110</f>
        <v>-0</v>
      </c>
      <c r="F41" s="38" t="n">
        <f aca="false">-F39*Assumptions!$C$110</f>
        <v>-0</v>
      </c>
      <c r="G41" s="38" t="n">
        <f aca="false">-G39*Assumptions!$C$110</f>
        <v>-0</v>
      </c>
      <c r="H41" s="38" t="n">
        <f aca="false">-H39*Assumptions!$C$110</f>
        <v>-0</v>
      </c>
      <c r="I41" s="38" t="n">
        <f aca="false">-I39*Assumptions!$C$110</f>
        <v>-0</v>
      </c>
      <c r="J41" s="38" t="n">
        <f aca="false">-J39*Assumptions!$C$110</f>
        <v>-0</v>
      </c>
      <c r="K41" s="38" t="n">
        <f aca="false">-K39*Assumptions!$C$110</f>
        <v>-0</v>
      </c>
      <c r="L41" s="38" t="n">
        <f aca="false">-L39*Assumptions!$C$110</f>
        <v>-0</v>
      </c>
      <c r="M41" s="38" t="n">
        <f aca="false">-M39*Assumptions!$C$110</f>
        <v>-0</v>
      </c>
    </row>
    <row r="42" customFormat="false" ht="15" hidden="false" customHeight="false" outlineLevel="0" collapsed="false">
      <c r="B42" s="21" t="s">
        <v>239</v>
      </c>
      <c r="D42" s="38" t="n">
        <f aca="false">-Assumptions!$C$114*Assumptions!$C$101</f>
        <v>-0</v>
      </c>
      <c r="E42" s="38" t="n">
        <f aca="false">-Assumptions!$C$114*Assumptions!$C$101</f>
        <v>-0</v>
      </c>
      <c r="F42" s="38" t="n">
        <f aca="false">-Assumptions!$C$114*Assumptions!$C$101</f>
        <v>-0</v>
      </c>
      <c r="G42" s="38" t="n">
        <f aca="false">-Assumptions!$C$114*Assumptions!$C$101</f>
        <v>-0</v>
      </c>
      <c r="H42" s="38" t="n">
        <f aca="false">-Assumptions!$C$114*Assumptions!$C$101</f>
        <v>-0</v>
      </c>
      <c r="I42" s="38" t="n">
        <f aca="false">-Assumptions!$C$114*Assumptions!$C$101</f>
        <v>-0</v>
      </c>
      <c r="J42" s="38" t="n">
        <f aca="false">-Assumptions!$C$114*Assumptions!$C$101</f>
        <v>-0</v>
      </c>
      <c r="K42" s="38" t="n">
        <f aca="false">-Assumptions!$C$114*Assumptions!$C$101</f>
        <v>-0</v>
      </c>
      <c r="L42" s="38" t="n">
        <f aca="false">-Assumptions!$C$114*Assumptions!$C$101</f>
        <v>-0</v>
      </c>
      <c r="M42" s="38" t="n">
        <f aca="false">-Assumptions!$C$114*Assumptions!$C$101</f>
        <v>-0</v>
      </c>
    </row>
    <row r="43" customFormat="false" ht="15" hidden="false" customHeight="false" outlineLevel="0" collapsed="false">
      <c r="B43" s="55" t="s">
        <v>240</v>
      </c>
      <c r="D43" s="56" t="n">
        <f aca="false">D27+D36+D37+D41+D40+D42</f>
        <v>-334</v>
      </c>
      <c r="E43" s="56" t="n">
        <f aca="false">E27+E36+E37+E41+E40+E42</f>
        <v>-604</v>
      </c>
      <c r="F43" s="56" t="n">
        <f aca="false">F27+F36+F37+F41+F40+F42</f>
        <v>-255.53240172</v>
      </c>
      <c r="G43" s="56" t="n">
        <f aca="false">G27+G36+G37+G41+G40+G42</f>
        <v>487.99318796</v>
      </c>
      <c r="H43" s="56" t="n">
        <f aca="false">H27+H36+H37+H41+H40+H42</f>
        <v>635.2805695</v>
      </c>
      <c r="I43" s="56" t="n">
        <f aca="false">I27+I36+I37+I41+I40+I42</f>
        <v>514.2789139</v>
      </c>
      <c r="J43" s="56" t="n">
        <f aca="false">J27+J36+J37+J41+J40+J42</f>
        <v>293.1848617</v>
      </c>
      <c r="K43" s="56" t="n">
        <f aca="false">K27+K36+K37+K41+K40+K42</f>
        <v>7.2665094999999</v>
      </c>
      <c r="L43" s="56" t="n">
        <f aca="false">L27+L36+L37+L41+L40+L42</f>
        <v>5.35440730000016</v>
      </c>
      <c r="M43" s="56" t="n">
        <f aca="false">M27+M36+M37+M41+M40+M42</f>
        <v>3.44230510000011</v>
      </c>
    </row>
    <row r="44" customFormat="false" ht="15" hidden="false" customHeight="false" outlineLevel="0" collapsed="false">
      <c r="B44" s="21" t="s">
        <v>241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288.47988</v>
      </c>
      <c r="G44" s="66" t="n">
        <f aca="false">SKOT!G19-SKOT!G15+SKOT!G32</f>
        <v>927.554328</v>
      </c>
      <c r="H44" s="66" t="n">
        <f aca="false">SKOT!H19-SKOT!H15+SKOT!H32</f>
        <v>946.25415</v>
      </c>
      <c r="I44" s="66" t="n">
        <f aca="false">SKOT!I19-SKOT!I15+SKOT!I32</f>
        <v>785.49588</v>
      </c>
      <c r="J44" s="66" t="n">
        <f aca="false">SKOT!J19-SKOT!J15+SKOT!J32</f>
        <v>498.570390000001</v>
      </c>
      <c r="K44" s="66" t="n">
        <f aca="false">SKOT!K19-SKOT!K15+SKOT!K32</f>
        <v>211.6449</v>
      </c>
      <c r="L44" s="66" t="n">
        <f aca="false">SKOT!L19-SKOT!L15+SKOT!L32</f>
        <v>208.72566</v>
      </c>
      <c r="M44" s="66" t="n">
        <f aca="false">SKOT!M19-SKOT!M15+SKOT!M32</f>
        <v>205.80642</v>
      </c>
    </row>
    <row r="45" customFormat="false" ht="15" hidden="false" customHeight="false" outlineLevel="0" collapsed="false">
      <c r="B45" s="18" t="s">
        <v>242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243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1.4423994</v>
      </c>
      <c r="G46" s="67" t="n">
        <f aca="false">IF(G45=0,0,G44/G45)</f>
        <v>4.63777164</v>
      </c>
      <c r="H46" s="67" t="n">
        <f aca="false">IF(H45=0,0,H44/H45)</f>
        <v>4.73127075</v>
      </c>
      <c r="I46" s="67" t="n">
        <f aca="false">IF(I45=0,0,I44/I45)</f>
        <v>3.9274794</v>
      </c>
      <c r="J46" s="67" t="n">
        <f aca="false">IF(J45=0,0,J44/J45)</f>
        <v>2.49285195</v>
      </c>
      <c r="K46" s="67" t="n">
        <f aca="false">IF(K45=0,0,K44/K45)</f>
        <v>1.0582245</v>
      </c>
      <c r="L46" s="67" t="n">
        <f aca="false">IF(L45=0,0,L44/L45)</f>
        <v>1.0436283</v>
      </c>
      <c r="M46" s="67" t="n">
        <f aca="false">IF(M45=0,0,M44/M45)</f>
        <v>1.0290321</v>
      </c>
    </row>
    <row r="47" customFormat="false" ht="15" hidden="false" customHeight="false" outlineLevel="0" collapsed="false">
      <c r="B47" s="68" t="s">
        <v>244</v>
      </c>
      <c r="D47" s="59" t="n">
        <f aca="false">D35+D43</f>
        <v>-365.22896</v>
      </c>
      <c r="E47" s="59" t="n">
        <f aca="false">E35+E43</f>
        <v>-516.983684</v>
      </c>
      <c r="F47" s="59" t="n">
        <f aca="false">F35+F43</f>
        <v>223.66134228</v>
      </c>
      <c r="G47" s="59" t="n">
        <f aca="false">G35+G43</f>
        <v>1260.63650108</v>
      </c>
      <c r="H47" s="59" t="n">
        <f aca="false">H35+H43</f>
        <v>1316.74459486</v>
      </c>
      <c r="I47" s="59" t="n">
        <f aca="false">I35+I43</f>
        <v>1028.9621407</v>
      </c>
      <c r="J47" s="59" t="n">
        <f aca="false">J35+J43</f>
        <v>607.9316941</v>
      </c>
      <c r="K47" s="59" t="n">
        <f aca="false">K35+K43</f>
        <v>117.2751475</v>
      </c>
      <c r="L47" s="59" t="n">
        <f aca="false">L35+L43</f>
        <v>113.3498509</v>
      </c>
      <c r="M47" s="59" t="n">
        <f aca="false">M35+M43</f>
        <v>109.4245543</v>
      </c>
    </row>
    <row r="48" customFormat="false" ht="15" hidden="false" customHeight="false" outlineLevel="0" collapsed="false">
      <c r="B48" s="21" t="s">
        <v>245</v>
      </c>
      <c r="D48" s="69" t="n">
        <f aca="false">1/(1+Assumptions!$C$92)^((1)-Assumptions!$C$95)</f>
        <v>0.940720868383597</v>
      </c>
      <c r="E48" s="69" t="n">
        <f aca="false">1/(1+Assumptions!$C$92)^((2)-Assumptions!$C$95)</f>
        <v>0.832496343702299</v>
      </c>
      <c r="F48" s="69" t="n">
        <f aca="false">1/(1+Assumptions!$C$92)^((3)-Assumptions!$C$95)</f>
        <v>0.736722428055132</v>
      </c>
      <c r="G48" s="69" t="n">
        <f aca="false">1/(1+Assumptions!$C$92)^((4)-Assumptions!$C$95)</f>
        <v>0.651966750491267</v>
      </c>
      <c r="H48" s="69" t="n">
        <f aca="false">1/(1+Assumptions!$C$92)^((5)-Assumptions!$C$95)</f>
        <v>0.576961726098466</v>
      </c>
      <c r="I48" s="69" t="n">
        <f aca="false">1/(1+Assumptions!$C$92)^((6)-Assumptions!$C$95)</f>
        <v>0.510585598317227</v>
      </c>
      <c r="J48" s="69" t="n">
        <f aca="false">1/(1+Assumptions!$C$92)^((7)-Assumptions!$C$95)</f>
        <v>0.451845662227634</v>
      </c>
      <c r="K48" s="69" t="n">
        <f aca="false">1/(1+Assumptions!$C$92)^((8)-Assumptions!$C$95)</f>
        <v>0.399863417900562</v>
      </c>
      <c r="L48" s="69" t="n">
        <f aca="false">1/(1+Assumptions!$C$92)^((9)-Assumptions!$C$95)</f>
        <v>0.353861431770408</v>
      </c>
      <c r="M48" s="69" t="n">
        <f aca="false">1/(1+Assumptions!$C$92)^((10)-Assumptions!$C$95)</f>
        <v>0.313151709531335</v>
      </c>
    </row>
    <row r="49" customFormat="false" ht="15" hidden="false" customHeight="false" outlineLevel="0" collapsed="false">
      <c r="B49" s="65" t="s">
        <v>246</v>
      </c>
      <c r="D49" s="39" t="n">
        <f aca="false">D47*D48</f>
        <v>-343.578504410038</v>
      </c>
      <c r="E49" s="39" t="n">
        <f aca="false">E47*E48</f>
        <v>-430.387026683745</v>
      </c>
      <c r="F49" s="39" t="n">
        <f aca="false">F47*F48</f>
        <v>164.776327146591</v>
      </c>
      <c r="G49" s="39" t="n">
        <f aca="false">G47*G48</f>
        <v>821.893083159808</v>
      </c>
      <c r="H49" s="39" t="n">
        <f aca="false">H47*H48</f>
        <v>759.711234281252</v>
      </c>
      <c r="I49" s="39" t="n">
        <f aca="false">I47*I48</f>
        <v>525.373250255084</v>
      </c>
      <c r="J49" s="39" t="n">
        <f aca="false">J47*J48</f>
        <v>274.691298909782</v>
      </c>
      <c r="K49" s="39" t="n">
        <f aca="false">K47*K48</f>
        <v>46.8940413141424</v>
      </c>
      <c r="L49" s="39" t="n">
        <f aca="false">L47*L48</f>
        <v>40.1101405304364</v>
      </c>
      <c r="M49" s="39" t="n">
        <f aca="false">M47*M48</f>
        <v>34.2664862437495</v>
      </c>
    </row>
    <row r="50" customFormat="false" ht="15" hidden="false" customHeight="false" outlineLevel="0" collapsed="false">
      <c r="B50" s="8" t="s">
        <v>247</v>
      </c>
    </row>
    <row r="52" customFormat="false" ht="15" hidden="false" customHeight="false" outlineLevel="0" collapsed="false">
      <c r="B52" s="4" t="s">
        <v>248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172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249</v>
      </c>
      <c r="D54" s="70" t="n">
        <f aca="false">(1)-Assumptions!$C$95</f>
        <v>0.5</v>
      </c>
      <c r="E54" s="70" t="n">
        <f aca="false">(2)-Assumptions!$C$95</f>
        <v>1.5</v>
      </c>
      <c r="F54" s="70" t="n">
        <f aca="false">(3)-Assumptions!$C$95</f>
        <v>2.5</v>
      </c>
      <c r="G54" s="70" t="n">
        <f aca="false">(4)-Assumptions!$C$95</f>
        <v>3.5</v>
      </c>
      <c r="H54" s="70" t="n">
        <f aca="false">(5)-Assumptions!$C$95</f>
        <v>4.5</v>
      </c>
      <c r="I54" s="70" t="n">
        <f aca="false">(6)-Assumptions!$C$95</f>
        <v>5.5</v>
      </c>
      <c r="J54" s="70" t="n">
        <f aca="false">(7)-Assumptions!$C$95</f>
        <v>6.5</v>
      </c>
      <c r="K54" s="70" t="n">
        <f aca="false">(8)-Assumptions!$C$95</f>
        <v>7.5</v>
      </c>
      <c r="L54" s="70" t="n">
        <f aca="false">(9)-Assumptions!$C$95</f>
        <v>8.5</v>
      </c>
      <c r="M54" s="70" t="n">
        <f aca="false">(10)-Assumptions!$C$95</f>
        <v>9.5</v>
      </c>
    </row>
    <row r="55" customFormat="false" ht="15" hidden="false" customHeight="false" outlineLevel="0" collapsed="false">
      <c r="B55" s="21" t="s">
        <v>250</v>
      </c>
      <c r="D55" s="69" t="n">
        <f aca="false">1/(1+Assumptions!$C$91)^D54</f>
        <v>0.951302988308988</v>
      </c>
      <c r="E55" s="69" t="n">
        <f aca="false">1/(1+Assumptions!$C$91)^E54</f>
        <v>0.860907681727591</v>
      </c>
      <c r="F55" s="69" t="n">
        <f aca="false">1/(1+Assumptions!$C$91)^F54</f>
        <v>0.77910197441411</v>
      </c>
      <c r="G55" s="69" t="n">
        <f aca="false">1/(1+Assumptions!$C$91)^G54</f>
        <v>0.705069660103267</v>
      </c>
      <c r="H55" s="69" t="n">
        <f aca="false">1/(1+Assumptions!$C$91)^H54</f>
        <v>0.638072090591192</v>
      </c>
      <c r="I55" s="69" t="n">
        <f aca="false">1/(1+Assumptions!$C$91)^I54</f>
        <v>0.577440805964879</v>
      </c>
      <c r="J55" s="69" t="n">
        <f aca="false">1/(1+Assumptions!$C$91)^J54</f>
        <v>0.522570865126588</v>
      </c>
      <c r="K55" s="69" t="n">
        <f aca="false">1/(1+Assumptions!$C$91)^K54</f>
        <v>0.47291481006931</v>
      </c>
      <c r="L55" s="69" t="n">
        <f aca="false">1/(1+Assumptions!$C$91)^L54</f>
        <v>0.427977203682634</v>
      </c>
      <c r="M55" s="69" t="n">
        <f aca="false">1/(1+Assumptions!$C$91)^M54</f>
        <v>0.387309686590619</v>
      </c>
    </row>
    <row r="56" customFormat="false" ht="15" hidden="false" customHeight="false" outlineLevel="0" collapsed="false">
      <c r="B56" s="65" t="s">
        <v>251</v>
      </c>
      <c r="D56" s="39" t="n">
        <f aca="false">D28*D55</f>
        <v>-160.376708056135</v>
      </c>
      <c r="E56" s="39" t="n">
        <f aca="false">E28*E55</f>
        <v>-275.784099988544</v>
      </c>
      <c r="F56" s="39" t="n">
        <f aca="false">F28*F55</f>
        <v>327.459631284382</v>
      </c>
      <c r="G56" s="39" t="n">
        <f aca="false">G28*G55</f>
        <v>1027.48328047407</v>
      </c>
      <c r="H56" s="39" t="n">
        <f aca="false">H28*H55</f>
        <v>965.650131298259</v>
      </c>
      <c r="I56" s="39" t="n">
        <f aca="false">I28*I55</f>
        <v>707.714189264185</v>
      </c>
      <c r="J56" s="39" t="n">
        <f aca="false">J28*J55</f>
        <v>420.447084926451</v>
      </c>
      <c r="K56" s="39" t="n">
        <f aca="false">K28*K55</f>
        <v>148.456351936348</v>
      </c>
      <c r="L56" s="39" t="n">
        <f aca="false">L28*L55</f>
        <v>132.669702298908</v>
      </c>
      <c r="M56" s="39" t="n">
        <f aca="false">M28*M55</f>
        <v>118.542773607616</v>
      </c>
    </row>
    <row r="58" customFormat="false" ht="15" hidden="false" customHeight="false" outlineLevel="0" collapsed="false">
      <c r="B58" s="71" t="s">
        <v>252</v>
      </c>
      <c r="C58" s="5"/>
      <c r="D58" s="5"/>
      <c r="E58" s="5"/>
    </row>
    <row r="59" customFormat="false" ht="15" hidden="false" customHeight="false" outlineLevel="0" collapsed="false">
      <c r="B59" s="21" t="s">
        <v>253</v>
      </c>
      <c r="D59" s="38" t="n">
        <f aca="false">SUM(D56:M56)</f>
        <v>3412.26233704554</v>
      </c>
    </row>
    <row r="60" customFormat="false" ht="15" hidden="false" customHeight="false" outlineLevel="0" collapsed="false">
      <c r="B60" s="21" t="s">
        <v>254</v>
      </c>
      <c r="D60" s="38" t="n">
        <f aca="false">M28*(1+Assumptions!$C$93)/(Assumptions!$C$91-Assumptions!$C$93)</f>
        <v>3672.8058516</v>
      </c>
    </row>
    <row r="61" customFormat="false" ht="15" hidden="false" customHeight="false" outlineLevel="0" collapsed="false">
      <c r="B61" s="21" t="s">
        <v>255</v>
      </c>
      <c r="D61" s="38" t="n">
        <f aca="false">D60*M55</f>
        <v>1422.51328329139</v>
      </c>
    </row>
    <row r="62" customFormat="false" ht="15" hidden="false" customHeight="false" outlineLevel="0" collapsed="false">
      <c r="B62" s="72" t="s">
        <v>256</v>
      </c>
      <c r="D62" s="73" t="n">
        <f aca="false">D59+D61</f>
        <v>4834.77562033693</v>
      </c>
    </row>
    <row r="63" customFormat="false" ht="15" hidden="false" customHeight="false" outlineLevel="0" collapsed="false">
      <c r="B63" s="21" t="s">
        <v>257</v>
      </c>
      <c r="D63" s="38" t="n">
        <f aca="false">-Assumptions!$C$94</f>
        <v>-6400</v>
      </c>
    </row>
    <row r="64" customFormat="false" ht="15" hidden="false" customHeight="false" outlineLevel="0" collapsed="false">
      <c r="B64" s="71" t="s">
        <v>258</v>
      </c>
      <c r="D64" s="74" t="n">
        <f aca="false">D62-Assumptions!$C$94</f>
        <v>-1565.22437966307</v>
      </c>
    </row>
    <row r="66" customFormat="false" ht="15" hidden="false" customHeight="false" outlineLevel="0" collapsed="false">
      <c r="B66" s="2" t="s">
        <v>259</v>
      </c>
      <c r="D66" s="75" t="n">
        <f aca="false">D61/D62</f>
        <v>0.294225295028739</v>
      </c>
    </row>
    <row r="68" customFormat="false" ht="15" hidden="false" customHeight="false" outlineLevel="0" collapsed="false">
      <c r="B68" s="71" t="s">
        <v>260</v>
      </c>
      <c r="C68" s="5"/>
      <c r="D68" s="5"/>
      <c r="E68" s="5"/>
    </row>
    <row r="69" customFormat="false" ht="15" hidden="false" customHeight="false" outlineLevel="0" collapsed="false">
      <c r="B69" s="21" t="s">
        <v>261</v>
      </c>
      <c r="D69" s="38" t="n">
        <f aca="false">SUM(D49:M49)</f>
        <v>1893.75033074706</v>
      </c>
    </row>
    <row r="70" customFormat="false" ht="15" hidden="false" customHeight="false" outlineLevel="0" collapsed="false">
      <c r="B70" s="21" t="s">
        <v>262</v>
      </c>
      <c r="D70" s="38" t="n">
        <f aca="false">M47*(1+Assumptions!$C$93)/(Assumptions!$C$92-Assumptions!$C$93)</f>
        <v>1014.66404896364</v>
      </c>
    </row>
    <row r="71" customFormat="false" ht="15" hidden="false" customHeight="false" outlineLevel="0" collapsed="false">
      <c r="B71" s="21" t="s">
        <v>263</v>
      </c>
      <c r="D71" s="38" t="n">
        <f aca="false">D70*1/(1+Assumptions!$C$92)^((10)-Assumptions!$C$95)</f>
        <v>317.743781532949</v>
      </c>
    </row>
    <row r="72" customFormat="false" ht="15" hidden="false" customHeight="false" outlineLevel="0" collapsed="false">
      <c r="B72" s="72" t="s">
        <v>264</v>
      </c>
      <c r="D72" s="73" t="n">
        <f aca="false">D69+D71</f>
        <v>2211.49411228001</v>
      </c>
    </row>
    <row r="73" customFormat="false" ht="15" hidden="false" customHeight="false" outlineLevel="0" collapsed="false">
      <c r="B73" s="2" t="s">
        <v>265</v>
      </c>
      <c r="D73" s="76" t="n">
        <f aca="false">D64</f>
        <v>-1565.22437966307</v>
      </c>
    </row>
    <row r="74" customFormat="false" ht="15" hidden="false" customHeight="false" outlineLevel="0" collapsed="false">
      <c r="B74" s="51" t="s">
        <v>266</v>
      </c>
    </row>
    <row r="76" customFormat="false" ht="15" hidden="false" customHeight="false" outlineLevel="0" collapsed="false">
      <c r="B76" s="43" t="s">
        <v>267</v>
      </c>
      <c r="C76" s="44"/>
      <c r="D76" s="44"/>
      <c r="E76" s="44"/>
    </row>
    <row r="77" customFormat="false" ht="15" hidden="false" customHeight="false" outlineLevel="0" collapsed="false">
      <c r="B77" s="21" t="s">
        <v>268</v>
      </c>
      <c r="D77" s="66" t="n">
        <f aca="false">Assumptions!$C$119</f>
        <v>2000</v>
      </c>
    </row>
    <row r="78" customFormat="false" ht="15" hidden="false" customHeight="false" outlineLevel="0" collapsed="false">
      <c r="B78" s="21" t="s">
        <v>269</v>
      </c>
      <c r="D78" s="66" t="n">
        <f aca="false">Assumptions!$C$120</f>
        <v>3000</v>
      </c>
    </row>
    <row r="79" customFormat="false" ht="15" hidden="false" customHeight="false" outlineLevel="0" collapsed="false">
      <c r="B79" s="77" t="s">
        <v>270</v>
      </c>
      <c r="D79" s="78" t="n">
        <f aca="false">Assumptions!$C$119+Assumptions!$C$120</f>
        <v>5000</v>
      </c>
    </row>
    <row r="80" customFormat="false" ht="15" hidden="false" customHeight="false" outlineLevel="0" collapsed="false">
      <c r="B80" s="65" t="s">
        <v>271</v>
      </c>
      <c r="D80" s="79" t="n">
        <f aca="false">D64</f>
        <v>-1565.22437966307</v>
      </c>
    </row>
    <row r="81" customFormat="false" ht="15" hidden="false" customHeight="false" outlineLevel="0" collapsed="false">
      <c r="B81" s="53" t="s">
        <v>272</v>
      </c>
      <c r="D81" s="76" t="n">
        <f aca="false">(Assumptions!$C$119+Assumptions!$C$120)-D64</f>
        <v>6565.22437966307</v>
      </c>
    </row>
    <row r="82" customFormat="false" ht="15" hidden="false" customHeight="false" outlineLevel="0" collapsed="false">
      <c r="B82" s="51" t="s">
        <v>273</v>
      </c>
    </row>
    <row r="83" customFormat="false" ht="15" hidden="false" customHeight="false" outlineLevel="0" collapsed="false">
      <c r="B83" s="8" t="s">
        <v>274</v>
      </c>
    </row>
    <row r="85" customFormat="false" ht="15" hidden="false" customHeight="false" outlineLevel="0" collapsed="false">
      <c r="B85" s="4" t="s">
        <v>275</v>
      </c>
      <c r="C85" s="5"/>
      <c r="D85" s="5"/>
      <c r="E85" s="5"/>
    </row>
    <row r="86" customFormat="false" ht="15" hidden="false" customHeight="false" outlineLevel="0" collapsed="false">
      <c r="B86" s="21" t="s">
        <v>276</v>
      </c>
      <c r="D86" s="66" t="n">
        <f aca="false">G21</f>
        <v>454.979772</v>
      </c>
    </row>
    <row r="87" customFormat="false" ht="15" hidden="false" customHeight="false" outlineLevel="0" collapsed="false">
      <c r="B87" s="21" t="s">
        <v>277</v>
      </c>
      <c r="D87" s="66" t="n">
        <f aca="false">AVERAGE(H21:J21)</f>
        <v>554.054756666667</v>
      </c>
    </row>
    <row r="88" customFormat="false" ht="15" hidden="false" customHeight="false" outlineLevel="0" collapsed="false">
      <c r="B88" s="80" t="s">
        <v>278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279</v>
      </c>
    </row>
    <row r="90" customFormat="false" ht="15" hidden="false" customHeight="false" outlineLevel="0" collapsed="false">
      <c r="B90" s="82" t="s">
        <v>280</v>
      </c>
      <c r="D90" s="79" t="n">
        <f aca="false">$D$86*D88</f>
        <v>3639.838176</v>
      </c>
      <c r="E90" s="79" t="n">
        <f aca="false">$D$86*E88</f>
        <v>5004.777492</v>
      </c>
      <c r="F90" s="79" t="n">
        <f aca="false">$D$86*F88</f>
        <v>6369.716808</v>
      </c>
    </row>
    <row r="91" customFormat="false" ht="15" hidden="false" customHeight="false" outlineLevel="0" collapsed="false">
      <c r="B91" s="82" t="s">
        <v>281</v>
      </c>
      <c r="D91" s="79" t="n">
        <f aca="false">$D$87*D88</f>
        <v>4432.43805333333</v>
      </c>
      <c r="E91" s="79" t="n">
        <f aca="false">$D$87*E88</f>
        <v>6094.60232333333</v>
      </c>
      <c r="F91" s="79" t="n">
        <f aca="false">$D$87*F88</f>
        <v>7756.76659333334</v>
      </c>
    </row>
    <row r="92" customFormat="false" ht="15" hidden="false" customHeight="false" outlineLevel="0" collapsed="false">
      <c r="B92" s="2" t="s">
        <v>282</v>
      </c>
      <c r="D92" s="76" t="n">
        <f aca="false">D62</f>
        <v>4834.77562033693</v>
      </c>
    </row>
    <row r="93" customFormat="false" ht="15" hidden="false" customHeight="false" outlineLevel="0" collapsed="false">
      <c r="B93" s="51" t="s">
        <v>283</v>
      </c>
    </row>
    <row r="94" customFormat="false" ht="15" hidden="false" customHeight="false" outlineLevel="0" collapsed="false">
      <c r="B94" s="8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9" min="3" style="0" width="12"/>
  </cols>
  <sheetData>
    <row r="1" customFormat="false" ht="20.1" hidden="false" customHeight="false" outlineLevel="0" collapsed="false">
      <c r="B1" s="1" t="s">
        <v>285</v>
      </c>
    </row>
    <row r="2" customFormat="false" ht="15" hidden="false" customHeight="false" outlineLevel="0" collapsed="false">
      <c r="B2" s="53" t="s">
        <v>286</v>
      </c>
    </row>
    <row r="4" customFormat="false" ht="15" hidden="false" customHeight="false" outlineLevel="0" collapsed="false">
      <c r="B4" s="4" t="s">
        <v>287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B5" s="21" t="s">
        <v>288</v>
      </c>
      <c r="D5" s="38" t="n">
        <f aca="false">Consolidated!D87</f>
        <v>554.054756666667</v>
      </c>
    </row>
    <row r="6" customFormat="false" ht="15" hidden="false" customHeight="false" outlineLevel="0" collapsed="false">
      <c r="B6" s="21" t="s">
        <v>289</v>
      </c>
      <c r="D6" s="38" t="n">
        <f aca="false">Consolidated!D86</f>
        <v>454.979772</v>
      </c>
    </row>
    <row r="7" customFormat="false" ht="15" hidden="false" customHeight="false" outlineLevel="0" collapsed="false">
      <c r="B7" s="21" t="s">
        <v>290</v>
      </c>
      <c r="D7" s="38" t="n">
        <f aca="false">AVERAGE(Consolidated!H8:J8)</f>
        <v>6154.97833333333</v>
      </c>
    </row>
    <row r="8" customFormat="false" ht="15" hidden="false" customHeight="false" outlineLevel="0" collapsed="false">
      <c r="B8" s="65" t="s">
        <v>291</v>
      </c>
      <c r="D8" s="39" t="n">
        <f aca="false">Consolidated!D62</f>
        <v>4834.77562033693</v>
      </c>
    </row>
    <row r="9" customFormat="false" ht="15" hidden="false" customHeight="false" outlineLevel="0" collapsed="false">
      <c r="B9" s="18" t="s">
        <v>292</v>
      </c>
      <c r="D9" s="38" t="n">
        <f aca="false">Assumptions!$C$94</f>
        <v>6400</v>
      </c>
    </row>
    <row r="10" customFormat="false" ht="15" hidden="false" customHeight="false" outlineLevel="0" collapsed="false">
      <c r="B10" s="65" t="s">
        <v>293</v>
      </c>
      <c r="D10" s="83" t="n">
        <f aca="false">D8/D5</f>
        <v>8.72616932200737</v>
      </c>
    </row>
    <row r="11" customFormat="false" ht="15" hidden="false" customHeight="false" outlineLevel="0" collapsed="false">
      <c r="B11" s="84" t="s">
        <v>294</v>
      </c>
      <c r="D11" s="85" t="n">
        <f aca="false">D8/D6</f>
        <v>10.626352901546</v>
      </c>
    </row>
    <row r="13" customFormat="false" ht="15" hidden="false" customHeight="false" outlineLevel="0" collapsed="false">
      <c r="B13" s="4" t="s">
        <v>295</v>
      </c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B14" s="86" t="s">
        <v>296</v>
      </c>
      <c r="D14" s="87" t="s">
        <v>297</v>
      </c>
      <c r="E14" s="88" t="s">
        <v>298</v>
      </c>
    </row>
    <row r="15" customFormat="false" ht="15" hidden="false" customHeight="false" outlineLevel="0" collapsed="false">
      <c r="B15" s="21" t="s">
        <v>299</v>
      </c>
      <c r="D15" s="89" t="n">
        <v>19</v>
      </c>
      <c r="E15" s="10" t="s">
        <v>300</v>
      </c>
    </row>
    <row r="16" customFormat="false" ht="15" hidden="false" customHeight="false" outlineLevel="0" collapsed="false">
      <c r="B16" s="21" t="s">
        <v>301</v>
      </c>
      <c r="D16" s="89" t="n">
        <v>13</v>
      </c>
      <c r="E16" s="10" t="s">
        <v>302</v>
      </c>
    </row>
    <row r="17" customFormat="false" ht="15" hidden="false" customHeight="false" outlineLevel="0" collapsed="false">
      <c r="B17" s="18" t="s">
        <v>303</v>
      </c>
      <c r="D17" s="90" t="s">
        <v>304</v>
      </c>
      <c r="E17" s="10" t="s">
        <v>305</v>
      </c>
    </row>
    <row r="18" customFormat="false" ht="15" hidden="false" customHeight="false" outlineLevel="0" collapsed="false">
      <c r="B18" s="21" t="s">
        <v>306</v>
      </c>
      <c r="D18" s="90" t="s">
        <v>304</v>
      </c>
      <c r="E18" s="10" t="s">
        <v>307</v>
      </c>
    </row>
    <row r="19" customFormat="false" ht="15" hidden="false" customHeight="false" outlineLevel="0" collapsed="false">
      <c r="B19" s="18" t="s">
        <v>308</v>
      </c>
      <c r="D19" s="89" t="n">
        <v>13</v>
      </c>
      <c r="E19" s="10" t="s">
        <v>309</v>
      </c>
    </row>
    <row r="20" customFormat="false" ht="15" hidden="false" customHeight="false" outlineLevel="0" collapsed="false">
      <c r="B20" s="18" t="s">
        <v>310</v>
      </c>
      <c r="D20" s="89" t="n">
        <v>15</v>
      </c>
      <c r="E20" s="10" t="s">
        <v>311</v>
      </c>
    </row>
    <row r="21" customFormat="false" ht="15" hidden="false" customHeight="false" outlineLevel="0" collapsed="false">
      <c r="B21" s="18" t="s">
        <v>312</v>
      </c>
      <c r="D21" s="89" t="n">
        <v>8</v>
      </c>
      <c r="E21" s="10" t="s">
        <v>313</v>
      </c>
    </row>
    <row r="22" customFormat="false" ht="15" hidden="false" customHeight="false" outlineLevel="0" collapsed="false">
      <c r="B22" s="18" t="s">
        <v>314</v>
      </c>
      <c r="D22" s="89" t="n">
        <v>13</v>
      </c>
      <c r="E22" s="10" t="s">
        <v>313</v>
      </c>
    </row>
    <row r="23" customFormat="false" ht="15" hidden="false" customHeight="false" outlineLevel="0" collapsed="false">
      <c r="B23" s="51" t="s">
        <v>315</v>
      </c>
    </row>
    <row r="25" customFormat="false" ht="15" hidden="false" customHeight="false" outlineLevel="0" collapsed="false">
      <c r="B25" s="4" t="s">
        <v>316</v>
      </c>
      <c r="C25" s="5"/>
      <c r="D25" s="5"/>
      <c r="E25" s="5"/>
      <c r="F25" s="5"/>
      <c r="G25" s="5"/>
      <c r="H25" s="5"/>
      <c r="I25" s="5"/>
    </row>
    <row r="26" customFormat="false" ht="15" hidden="false" customHeight="false" outlineLevel="0" collapsed="false">
      <c r="B26" s="86" t="s">
        <v>317</v>
      </c>
      <c r="C26" s="88" t="s">
        <v>318</v>
      </c>
      <c r="D26" s="87" t="s">
        <v>319</v>
      </c>
      <c r="E26" s="88" t="s">
        <v>320</v>
      </c>
      <c r="F26" s="87" t="s">
        <v>321</v>
      </c>
      <c r="G26" s="88" t="s">
        <v>320</v>
      </c>
    </row>
    <row r="27" customFormat="false" ht="15" hidden="false" customHeight="false" outlineLevel="0" collapsed="false">
      <c r="B27" s="21" t="s">
        <v>322</v>
      </c>
      <c r="C27" s="89" t="n">
        <v>8</v>
      </c>
      <c r="D27" s="38" t="n">
        <f aca="false">C27*$D$5</f>
        <v>4432.43805333333</v>
      </c>
      <c r="E27" s="91" t="n">
        <f aca="false">D27-$D$9</f>
        <v>-1967.56194666667</v>
      </c>
      <c r="F27" s="38" t="n">
        <f aca="false">C27*$D$6</f>
        <v>3639.838176</v>
      </c>
      <c r="G27" s="91" t="n">
        <f aca="false">F27-$D$9</f>
        <v>-2760.161824</v>
      </c>
    </row>
    <row r="28" customFormat="false" ht="15" hidden="false" customHeight="false" outlineLevel="0" collapsed="false">
      <c r="B28" s="21" t="s">
        <v>323</v>
      </c>
      <c r="C28" s="89" t="n">
        <v>10.5</v>
      </c>
      <c r="D28" s="38" t="n">
        <f aca="false">C28*$D$5</f>
        <v>5817.574945</v>
      </c>
      <c r="E28" s="91" t="n">
        <f aca="false">D28-$D$9</f>
        <v>-582.425054999999</v>
      </c>
      <c r="F28" s="38" t="n">
        <f aca="false">C28*$D$6</f>
        <v>4777.287606</v>
      </c>
      <c r="G28" s="91" t="n">
        <f aca="false">F28-$D$9</f>
        <v>-1622.712394</v>
      </c>
    </row>
    <row r="29" customFormat="false" ht="15" hidden="false" customHeight="false" outlineLevel="0" collapsed="false">
      <c r="B29" s="21" t="s">
        <v>324</v>
      </c>
      <c r="C29" s="89" t="n">
        <v>13</v>
      </c>
      <c r="D29" s="38" t="n">
        <f aca="false">C29*$D$5</f>
        <v>7202.71183666667</v>
      </c>
      <c r="E29" s="66" t="n">
        <f aca="false">D29-$D$9</f>
        <v>802.711836666668</v>
      </c>
      <c r="F29" s="38" t="n">
        <f aca="false">C29*$D$6</f>
        <v>5914.737036</v>
      </c>
      <c r="G29" s="91" t="n">
        <f aca="false">F29-$D$9</f>
        <v>-485.262964000001</v>
      </c>
    </row>
    <row r="30" customFormat="false" ht="15" hidden="false" customHeight="false" outlineLevel="0" collapsed="false">
      <c r="B30" s="21" t="s">
        <v>325</v>
      </c>
      <c r="C30" s="89" t="n">
        <v>15</v>
      </c>
      <c r="D30" s="38" t="n">
        <f aca="false">C30*$D$5</f>
        <v>8310.82135</v>
      </c>
      <c r="E30" s="66" t="n">
        <f aca="false">D30-$D$9</f>
        <v>1910.82135</v>
      </c>
      <c r="F30" s="38" t="n">
        <f aca="false">C30*$D$6</f>
        <v>6824.69658</v>
      </c>
      <c r="G30" s="66" t="n">
        <f aca="false">F30-$D$9</f>
        <v>424.696579999999</v>
      </c>
    </row>
    <row r="31" customFormat="false" ht="15" hidden="false" customHeight="false" outlineLevel="0" collapsed="false">
      <c r="B31" s="21" t="s">
        <v>326</v>
      </c>
      <c r="C31" s="89" t="n">
        <v>19</v>
      </c>
      <c r="D31" s="38" t="n">
        <f aca="false">C31*$D$5</f>
        <v>10527.0403766667</v>
      </c>
      <c r="E31" s="66" t="n">
        <f aca="false">D31-$D$9</f>
        <v>4127.04037666667</v>
      </c>
      <c r="F31" s="38" t="n">
        <f aca="false">C31*$D$6</f>
        <v>8644.615668</v>
      </c>
      <c r="G31" s="66" t="n">
        <f aca="false">F31-$D$9</f>
        <v>2244.615668</v>
      </c>
    </row>
    <row r="33" customFormat="false" ht="15" hidden="false" customHeight="false" outlineLevel="0" collapsed="false">
      <c r="B33" s="4" t="s">
        <v>327</v>
      </c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B34" s="18" t="s">
        <v>328</v>
      </c>
      <c r="D34" s="19" t="n">
        <v>1420</v>
      </c>
    </row>
    <row r="35" customFormat="false" ht="15" hidden="false" customHeight="false" outlineLevel="0" collapsed="false">
      <c r="B35" s="18" t="s">
        <v>329</v>
      </c>
      <c r="D35" s="20" t="n">
        <v>0.6</v>
      </c>
    </row>
    <row r="36" customFormat="false" ht="15" hidden="false" customHeight="false" outlineLevel="0" collapsed="false">
      <c r="B36" s="86" t="s">
        <v>330</v>
      </c>
      <c r="C36" s="88" t="s">
        <v>331</v>
      </c>
      <c r="D36" s="88" t="s">
        <v>332</v>
      </c>
      <c r="E36" s="88" t="s">
        <v>333</v>
      </c>
      <c r="F36" s="88" t="s">
        <v>334</v>
      </c>
      <c r="G36" s="88" t="s">
        <v>335</v>
      </c>
      <c r="H36" s="88" t="s">
        <v>336</v>
      </c>
      <c r="I36" s="88" t="s">
        <v>337</v>
      </c>
    </row>
    <row r="37" customFormat="false" ht="15" hidden="false" customHeight="false" outlineLevel="0" collapsed="false">
      <c r="B37" s="21" t="s">
        <v>338</v>
      </c>
      <c r="C37" s="20" t="n">
        <v>0.1</v>
      </c>
      <c r="D37" s="20" t="n">
        <v>0.2</v>
      </c>
      <c r="E37" s="38" t="n">
        <f aca="false">(1-C37-$D$35)*$D$34</f>
        <v>426</v>
      </c>
      <c r="F37" s="38" t="n">
        <f aca="false">E37/D37</f>
        <v>2130</v>
      </c>
      <c r="G37" s="38" t="n">
        <f aca="false">F37+$D$9</f>
        <v>8530</v>
      </c>
      <c r="H37" s="83" t="n">
        <f aca="false">G37/$D$5</f>
        <v>15.3955902324865</v>
      </c>
      <c r="I37" s="85" t="n">
        <f aca="false">G37/$D$6</f>
        <v>18.7480862336007</v>
      </c>
    </row>
    <row r="38" customFormat="false" ht="15" hidden="false" customHeight="false" outlineLevel="0" collapsed="false">
      <c r="B38" s="18" t="s">
        <v>339</v>
      </c>
      <c r="C38" s="20" t="n">
        <v>0.2</v>
      </c>
      <c r="D38" s="20" t="n">
        <v>0.2</v>
      </c>
      <c r="E38" s="38" t="n">
        <f aca="false">(1-C38-$D$35)*$D$34</f>
        <v>284</v>
      </c>
      <c r="F38" s="38" t="n">
        <f aca="false">E38/D38</f>
        <v>1420</v>
      </c>
      <c r="G38" s="38" t="n">
        <f aca="false">F38+$D$9</f>
        <v>7820</v>
      </c>
      <c r="H38" s="83" t="n">
        <f aca="false">G38/$D$5</f>
        <v>14.1141284429126</v>
      </c>
      <c r="I38" s="85" t="n">
        <f aca="false">G38/$D$6</f>
        <v>17.1875772973925</v>
      </c>
    </row>
    <row r="39" customFormat="false" ht="15" hidden="false" customHeight="false" outlineLevel="0" collapsed="false">
      <c r="B39" s="18" t="s">
        <v>340</v>
      </c>
      <c r="C39" s="20" t="n">
        <v>0.1</v>
      </c>
      <c r="D39" s="20" t="n">
        <v>0.3</v>
      </c>
      <c r="E39" s="38" t="n">
        <f aca="false">(1-C39-$D$35)*$D$34</f>
        <v>426</v>
      </c>
      <c r="F39" s="38" t="n">
        <f aca="false">E39/D39</f>
        <v>1420</v>
      </c>
      <c r="G39" s="38" t="n">
        <f aca="false">F39+$D$9</f>
        <v>7820</v>
      </c>
      <c r="H39" s="83" t="n">
        <f aca="false">G39/$D$5</f>
        <v>14.1141284429126</v>
      </c>
      <c r="I39" s="85" t="n">
        <f aca="false">G39/$D$6</f>
        <v>17.1875772973925</v>
      </c>
    </row>
    <row r="40" customFormat="false" ht="15" hidden="false" customHeight="false" outlineLevel="0" collapsed="false">
      <c r="B40" s="18" t="s">
        <v>341</v>
      </c>
      <c r="C40" s="20" t="n">
        <v>0.1</v>
      </c>
      <c r="D40" s="20" t="n">
        <v>0.49</v>
      </c>
      <c r="E40" s="38" t="n">
        <f aca="false">(1-C40-$D$35)*$D$34</f>
        <v>426</v>
      </c>
      <c r="F40" s="38" t="n">
        <f aca="false">E40/D40</f>
        <v>869.387755102041</v>
      </c>
      <c r="G40" s="38" t="n">
        <f aca="false">F40+$D$9</f>
        <v>7269.38775510204</v>
      </c>
      <c r="H40" s="83" t="n">
        <f aca="false">G40/$D$5</f>
        <v>13.1203417489573</v>
      </c>
      <c r="I40" s="85" t="n">
        <f aca="false">G40/$D$6</f>
        <v>15.9773866938024</v>
      </c>
    </row>
    <row r="41" customFormat="false" ht="15" hidden="false" customHeight="false" outlineLevel="0" collapsed="false">
      <c r="B41" s="18" t="s">
        <v>342</v>
      </c>
      <c r="C41" s="20" t="n">
        <v>0.2</v>
      </c>
      <c r="D41" s="20" t="n">
        <v>0.49</v>
      </c>
      <c r="E41" s="38" t="n">
        <f aca="false">(1-C41-$D$35)*$D$34</f>
        <v>284</v>
      </c>
      <c r="F41" s="38" t="n">
        <f aca="false">E41/D41</f>
        <v>579.591836734694</v>
      </c>
      <c r="G41" s="38" t="n">
        <f aca="false">F41+$D$9</f>
        <v>6979.59183673469</v>
      </c>
      <c r="H41" s="83" t="n">
        <f aca="false">G41/$D$5</f>
        <v>12.5972961205598</v>
      </c>
      <c r="I41" s="85" t="n">
        <f aca="false">G41/$D$6</f>
        <v>15.3404442708602</v>
      </c>
    </row>
    <row r="43" customFormat="false" ht="15" hidden="false" customHeight="false" outlineLevel="0" collapsed="false">
      <c r="B43" s="4" t="s">
        <v>343</v>
      </c>
      <c r="C43" s="5"/>
      <c r="D43" s="5"/>
      <c r="E43" s="5"/>
      <c r="F43" s="5"/>
      <c r="G43" s="5"/>
      <c r="H43" s="5"/>
      <c r="I43" s="5"/>
    </row>
    <row r="44" customFormat="false" ht="15" hidden="false" customHeight="false" outlineLevel="0" collapsed="false">
      <c r="B44" s="18" t="s">
        <v>344</v>
      </c>
      <c r="D44" s="89" t="n">
        <v>13</v>
      </c>
    </row>
    <row r="45" customFormat="false" ht="15" hidden="false" customHeight="false" outlineLevel="0" collapsed="false">
      <c r="B45" s="86" t="s">
        <v>330</v>
      </c>
      <c r="C45" s="88" t="s">
        <v>345</v>
      </c>
    </row>
    <row r="46" customFormat="false" ht="15" hidden="false" customHeight="false" outlineLevel="0" collapsed="false">
      <c r="B46" s="21" t="s">
        <v>338</v>
      </c>
      <c r="C46" s="92" t="n">
        <f aca="false">G37/($D$44*$D$7)</f>
        <v>0.106605386829769</v>
      </c>
    </row>
    <row r="47" customFormat="false" ht="15" hidden="false" customHeight="false" outlineLevel="0" collapsed="false">
      <c r="B47" s="18" t="s">
        <v>339</v>
      </c>
      <c r="C47" s="92" t="n">
        <f aca="false">G38/($D$44*$D$7)</f>
        <v>0.0977320193445244</v>
      </c>
    </row>
    <row r="48" customFormat="false" ht="15" hidden="false" customHeight="false" outlineLevel="0" collapsed="false">
      <c r="B48" s="18" t="s">
        <v>340</v>
      </c>
      <c r="C48" s="92" t="n">
        <f aca="false">G39/($D$44*$D$7)</f>
        <v>0.0977320193445244</v>
      </c>
    </row>
    <row r="49" customFormat="false" ht="15" hidden="false" customHeight="false" outlineLevel="0" collapsed="false">
      <c r="B49" s="18" t="s">
        <v>341</v>
      </c>
      <c r="C49" s="92" t="n">
        <f aca="false">G40/($D$44*$D$7)</f>
        <v>0.090850632315151</v>
      </c>
    </row>
    <row r="50" customFormat="false" ht="15" hidden="false" customHeight="false" outlineLevel="0" collapsed="false">
      <c r="B50" s="18" t="s">
        <v>342</v>
      </c>
      <c r="C50" s="92" t="n">
        <f aca="false">G41/($D$44*$D$7)</f>
        <v>0.0872288496681125</v>
      </c>
    </row>
    <row r="51" customFormat="false" ht="15" hidden="false" customHeight="false" outlineLevel="0" collapsed="false">
      <c r="B51" s="8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2026-07-01T11:25:30Z</dcterms:created>
  <dc:creator>openpyxl</dc:creator>
  <dc:description/>
  <dc:language>en-US</dc:language>
  <cp:lastModifiedBy/>
  <dcterms:modified xsi:type="dcterms:W3CDTF">2026-07-01T11:25:32Z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