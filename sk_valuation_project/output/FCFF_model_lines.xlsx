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ssumptions" sheetId="1" state="visible" r:id="rId3"/>
    <sheet name="SKBA" sheetId="2" state="visible" r:id="rId4"/>
    <sheet name="SKOT" sheetId="3" state="visible" r:id="rId5"/>
    <sheet name="Consolidated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<sst xmlns="http://schemas.openxmlformats.org/spreadsheetml/2006/main" count="476" uniqueCount="282">
  <si>
    <t xml:space="preserve">US LFP/ESS CELL PLATFORM — LINE-LEVEL FINANCIAL PROJECTION</t>
  </si>
  <si>
    <r>
      <rPr>
        <sz val="9"/>
        <color rgb="FF8C8473"/>
        <rFont val="Arial"/>
        <family val="0"/>
        <charset val="1"/>
      </rPr>
      <t xml:space="preserve">Project [ ● ]  ·  Revenue → FCFF  ·  </t>
    </r>
    <r>
      <rPr>
        <sz val="9"/>
        <color rgb="FF8C8473"/>
        <rFont val="WenQuanYi Zen Hei"/>
        <family val="2"/>
      </rPr>
      <t xml:space="preserve">라인 단위  </t>
    </r>
    <r>
      <rPr>
        <sz val="9"/>
        <color rgb="FF8C8473"/>
        <rFont val="Arial"/>
        <family val="0"/>
        <charset val="1"/>
      </rPr>
      <t xml:space="preserve">·  Strictly Private &amp; Confidential</t>
    </r>
  </si>
  <si>
    <r>
      <rPr>
        <i val="true"/>
        <sz val="8.5"/>
        <color rgb="FF8C8473"/>
        <rFont val="Arial"/>
        <family val="0"/>
        <charset val="1"/>
      </rPr>
      <t xml:space="preserve">Blue=input  Black=formula  ★=</t>
    </r>
    <r>
      <rPr>
        <i val="true"/>
        <sz val="8.5"/>
        <color rgb="FF8C8473"/>
        <rFont val="WenQuanYi Zen Hei"/>
        <family val="2"/>
      </rPr>
      <t xml:space="preserve">가정값   </t>
    </r>
    <r>
      <rPr>
        <i val="true"/>
        <sz val="8.5"/>
        <color rgb="FF8C8473"/>
        <rFont val="Arial"/>
        <family val="0"/>
        <charset val="1"/>
      </rPr>
      <t xml:space="preserve">|   ASP = </t>
    </r>
    <r>
      <rPr>
        <i val="true"/>
        <sz val="8.5"/>
        <color rgb="FF8C8473"/>
        <rFont val="WenQuanYi Zen Hei"/>
        <family val="2"/>
      </rPr>
      <t xml:space="preserve">중국산 셀 </t>
    </r>
    <r>
      <rPr>
        <i val="true"/>
        <sz val="8.5"/>
        <color rgb="FF8C8473"/>
        <rFont val="Arial"/>
        <family val="0"/>
        <charset val="1"/>
      </rPr>
      <t xml:space="preserve">+ </t>
    </r>
    <r>
      <rPr>
        <i val="true"/>
        <sz val="8.5"/>
        <color rgb="FF8C8473"/>
        <rFont val="WenQuanYi Zen Hei"/>
        <family val="2"/>
      </rPr>
      <t xml:space="preserve">미국 관세</t>
    </r>
    <r>
      <rPr>
        <i val="true"/>
        <sz val="8.5"/>
        <color rgb="FF8C8473"/>
        <rFont val="Arial"/>
        <family val="0"/>
        <charset val="1"/>
      </rPr>
      <t xml:space="preserve">(58.4%) </t>
    </r>
    <r>
      <rPr>
        <i val="true"/>
        <sz val="8.5"/>
        <color rgb="FF8C8473"/>
        <rFont val="WenQuanYi Zen Hei"/>
        <family val="2"/>
      </rPr>
      <t xml:space="preserve">하한 기반 도출 </t>
    </r>
    <r>
      <rPr>
        <i val="true"/>
        <sz val="8.5"/>
        <color rgb="FF8C8473"/>
        <rFont val="Arial"/>
        <family val="0"/>
        <charset val="1"/>
      </rPr>
      <t xml:space="preserve">· SKBA 4</t>
    </r>
    <r>
      <rPr>
        <i val="true"/>
        <sz val="8.5"/>
        <color rgb="FF8C8473"/>
        <rFont val="WenQuanYi Zen Hei"/>
        <family val="2"/>
      </rPr>
      <t xml:space="preserve">라인 </t>
    </r>
    <r>
      <rPr>
        <i val="true"/>
        <sz val="8.5"/>
        <color rgb="FF8C8473"/>
        <rFont val="Arial"/>
        <family val="0"/>
        <charset val="1"/>
      </rPr>
      <t xml:space="preserve">· SKOT 3</t>
    </r>
    <r>
      <rPr>
        <i val="true"/>
        <sz val="8.5"/>
        <color rgb="FF8C8473"/>
        <rFont val="WenQuanYi Zen Hei"/>
        <family val="2"/>
      </rPr>
      <t xml:space="preserve">라인</t>
    </r>
  </si>
  <si>
    <t xml:space="preserve">GLOBAL TOGGLE</t>
  </si>
  <si>
    <r>
      <rPr>
        <b val="true"/>
        <sz val="10"/>
        <color rgb="FF000000"/>
        <rFont val="Arial"/>
        <family val="0"/>
        <charset val="1"/>
      </rPr>
      <t xml:space="preserve">Effective production factor (</t>
    </r>
    <r>
      <rPr>
        <b val="true"/>
        <sz val="10"/>
        <color rgb="FF000000"/>
        <rFont val="WenQuanYi Zen Hei"/>
        <family val="2"/>
      </rPr>
      <t xml:space="preserve">명판 대비</t>
    </r>
    <r>
      <rPr>
        <b val="true"/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</si>
  <si>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WenQuanYi Zen Hei"/>
        <family val="2"/>
      </rPr>
      <t xml:space="preserve">← 토글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명판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</rPr>
      <t xml:space="preserve">이 값 </t>
    </r>
    <r>
      <rPr>
        <i val="true"/>
        <sz val="8"/>
        <color rgb="FF8C8473"/>
        <rFont val="Arial"/>
        <family val="0"/>
        <charset val="1"/>
      </rPr>
      <t xml:space="preserve">= </t>
    </r>
    <r>
      <rPr>
        <i val="true"/>
        <sz val="8"/>
        <color rgb="FF8C8473"/>
        <rFont val="WenQuanYi Zen Hei"/>
        <family val="2"/>
      </rPr>
      <t xml:space="preserve">실제 생산</t>
    </r>
  </si>
  <si>
    <r>
      <rPr>
        <b val="true"/>
        <sz val="10"/>
        <color rgb="FF000000"/>
        <rFont val="Arial"/>
        <family val="0"/>
        <charset val="1"/>
      </rPr>
      <t xml:space="preserve">ASP </t>
    </r>
    <r>
      <rPr>
        <b val="true"/>
        <sz val="10"/>
        <color rgb="FF000000"/>
        <rFont val="WenQuanYi Zen Hei"/>
        <family val="2"/>
      </rPr>
      <t xml:space="preserve">방식 토글 ★  </t>
    </r>
    <r>
      <rPr>
        <b val="true"/>
        <sz val="10"/>
        <color rgb="FF000000"/>
        <rFont val="Arial"/>
        <family val="0"/>
        <charset val="1"/>
      </rPr>
      <t xml:space="preserve">(1=</t>
    </r>
    <r>
      <rPr>
        <b val="true"/>
        <sz val="10"/>
        <color rgb="FF000000"/>
        <rFont val="WenQuanYi Zen Hei"/>
        <family val="2"/>
      </rPr>
      <t xml:space="preserve">관세하한 셀 </t>
    </r>
    <r>
      <rPr>
        <b val="true"/>
        <sz val="10"/>
        <color rgb="FF000000"/>
        <rFont val="Arial"/>
        <family val="0"/>
        <charset val="1"/>
      </rPr>
      <t xml:space="preserve">/ 2=DC</t>
    </r>
    <r>
      <rPr>
        <b val="true"/>
        <sz val="10"/>
        <color rgb="FF000000"/>
        <rFont val="WenQuanYi Zen Hei"/>
        <family val="2"/>
      </rPr>
      <t xml:space="preserve">블록 </t>
    </r>
    <r>
      <rPr>
        <b val="true"/>
        <sz val="10"/>
        <color rgb="FF000000"/>
        <rFont val="Arial"/>
        <family val="0"/>
        <charset val="1"/>
      </rPr>
      <t xml:space="preserve">$155)</t>
    </r>
  </si>
  <si>
    <r>
      <rPr>
        <i val="true"/>
        <sz val="8"/>
        <color rgb="FF8C8473"/>
        <rFont val="Arial"/>
        <family val="0"/>
        <charset val="1"/>
      </rPr>
      <t xml:space="preserve">← 1: </t>
    </r>
    <r>
      <rPr>
        <i val="true"/>
        <sz val="8"/>
        <color rgb="FF8C8473"/>
        <rFont val="WenQuanYi Zen Hei"/>
        <family val="2"/>
      </rPr>
      <t xml:space="preserve">셀 </t>
    </r>
    <r>
      <rPr>
        <i val="true"/>
        <sz val="8"/>
        <color rgb="FF8C8473"/>
        <rFont val="Arial"/>
        <family val="0"/>
        <charset val="1"/>
      </rPr>
      <t xml:space="preserve">ASP(</t>
    </r>
    <r>
      <rPr>
        <i val="true"/>
        <sz val="8"/>
        <color rgb="FF8C8473"/>
        <rFont val="WenQuanYi Zen Hei"/>
        <family val="2"/>
      </rPr>
      <t xml:space="preserve">관세하한</t>
    </r>
    <r>
      <rPr>
        <i val="true"/>
        <sz val="8"/>
        <color rgb="FF8C8473"/>
        <rFont val="Arial"/>
        <family val="0"/>
        <charset val="1"/>
      </rPr>
      <t xml:space="preserve">)  /  2: DC</t>
    </r>
    <r>
      <rPr>
        <i val="true"/>
        <sz val="8"/>
        <color rgb="FF8C8473"/>
        <rFont val="WenQuanYi Zen Hei"/>
        <family val="2"/>
      </rPr>
      <t xml:space="preserve">블록 시스템 </t>
    </r>
    <r>
      <rPr>
        <i val="true"/>
        <sz val="8"/>
        <color rgb="FF8C8473"/>
        <rFont val="Arial"/>
        <family val="0"/>
        <charset val="1"/>
      </rPr>
      <t xml:space="preserve">ASP $155</t>
    </r>
  </si>
  <si>
    <r>
      <rPr>
        <b val="true"/>
        <sz val="10"/>
        <color rgb="FF000000"/>
        <rFont val="Arial"/>
        <family val="0"/>
        <charset val="1"/>
      </rPr>
      <t xml:space="preserve">AMPC 45X ($/kWh) — </t>
    </r>
    <r>
      <rPr>
        <b val="true"/>
        <sz val="10"/>
        <color rgb="FF000000"/>
        <rFont val="WenQuanYi Zen Hei"/>
        <family val="2"/>
      </rPr>
      <t xml:space="preserve">셀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모듈</t>
    </r>
    <r>
      <rPr>
        <b val="true"/>
        <sz val="10"/>
        <color rgb="FF000000"/>
        <rFont val="Arial"/>
        <family val="0"/>
        <charset val="1"/>
      </rPr>
      <t xml:space="preserve">(DC</t>
    </r>
    <r>
      <rPr>
        <b val="true"/>
        <sz val="10"/>
        <color rgb="FF000000"/>
        <rFont val="WenQuanYi Zen Hei"/>
        <family val="2"/>
      </rPr>
      <t xml:space="preserve">블록</t>
    </r>
    <r>
      <rPr>
        <b val="true"/>
        <sz val="10"/>
        <color rgb="FF000000"/>
        <rFont val="Arial"/>
        <family val="0"/>
        <charset val="1"/>
      </rPr>
      <t xml:space="preserve">) · </t>
    </r>
    <r>
      <rPr>
        <b val="true"/>
        <sz val="10"/>
        <color rgb="FF000000"/>
        <rFont val="WenQuanYi Zen Hei"/>
        <family val="2"/>
      </rPr>
      <t xml:space="preserve">법정 </t>
    </r>
    <r>
      <rPr>
        <b val="true"/>
        <sz val="10"/>
        <color rgb="FF000000"/>
        <rFont val="Arial"/>
        <family val="0"/>
        <charset val="1"/>
      </rPr>
      <t xml:space="preserve">phase-out</t>
    </r>
  </si>
  <si>
    <t xml:space="preserve">'30=75%·'31=50%…</t>
  </si>
  <si>
    <r>
      <rPr>
        <b val="true"/>
        <sz val="10"/>
        <color rgb="FFFFFFFF"/>
        <rFont val="Arial"/>
        <family val="0"/>
        <charset val="1"/>
      </rPr>
      <t xml:space="preserve">ASP FLOOR — </t>
    </r>
    <r>
      <rPr>
        <b val="true"/>
        <sz val="10"/>
        <color rgb="FFFFFFFF"/>
        <rFont val="WenQuanYi Zen Hei"/>
        <family val="2"/>
      </rPr>
      <t xml:space="preserve">중국산 </t>
    </r>
    <r>
      <rPr>
        <b val="true"/>
        <sz val="10"/>
        <color rgb="FFFFFFFF"/>
        <rFont val="Arial"/>
        <family val="0"/>
        <charset val="1"/>
      </rPr>
      <t xml:space="preserve">LFP </t>
    </r>
    <r>
      <rPr>
        <b val="true"/>
        <sz val="10"/>
        <color rgb="FFFFFFFF"/>
        <rFont val="WenQuanYi Zen Hei"/>
        <family val="2"/>
      </rPr>
      <t xml:space="preserve">셀 </t>
    </r>
    <r>
      <rPr>
        <b val="true"/>
        <sz val="10"/>
        <color rgb="FFFFFFFF"/>
        <rFont val="Arial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</rPr>
      <t xml:space="preserve">미국 관세 </t>
    </r>
    <r>
      <rPr>
        <b val="true"/>
        <sz val="10"/>
        <color rgb="FFFFFFFF"/>
        <rFont val="Arial"/>
        <family val="0"/>
        <charset val="1"/>
      </rPr>
      <t xml:space="preserve">= </t>
    </r>
    <r>
      <rPr>
        <b val="true"/>
        <sz val="10"/>
        <color rgb="FFFFFFFF"/>
        <rFont val="WenQuanYi Zen Hei"/>
        <family val="2"/>
      </rPr>
      <t xml:space="preserve">미국시장 </t>
    </r>
    <r>
      <rPr>
        <b val="true"/>
        <sz val="10"/>
        <color rgb="FFFFFFFF"/>
        <rFont val="Arial"/>
        <family val="0"/>
        <charset val="1"/>
      </rPr>
      <t xml:space="preserve">ASP </t>
    </r>
    <r>
      <rPr>
        <b val="true"/>
        <sz val="10"/>
        <color rgb="FFFFFFFF"/>
        <rFont val="WenQuanYi Zen Hei"/>
        <family val="2"/>
      </rPr>
      <t xml:space="preserve">하한</t>
    </r>
  </si>
  <si>
    <r>
      <rPr>
        <b val="true"/>
        <i val="true"/>
        <sz val="8.5"/>
        <color rgb="FF7A2230"/>
        <rFont val="WenQuanYi Zen Hei"/>
        <family val="2"/>
      </rPr>
      <t xml:space="preserve">논리</t>
    </r>
    <r>
      <rPr>
        <b val="true"/>
        <i val="true"/>
        <sz val="8.5"/>
        <color rgb="FF7A2230"/>
        <rFont val="Arial"/>
        <family val="0"/>
        <charset val="1"/>
      </rPr>
      <t xml:space="preserve">: </t>
    </r>
    <r>
      <rPr>
        <b val="true"/>
        <i val="true"/>
        <sz val="8.5"/>
        <color rgb="FF7A2230"/>
        <rFont val="WenQuanYi Zen Hei"/>
        <family val="2"/>
      </rPr>
      <t xml:space="preserve">중국산 셀가</t>
    </r>
    <r>
      <rPr>
        <b val="true"/>
        <i val="true"/>
        <sz val="8.5"/>
        <color rgb="FF7A2230"/>
        <rFont val="Arial"/>
        <family val="0"/>
        <charset val="1"/>
      </rPr>
      <t xml:space="preserve">×(1+</t>
    </r>
    <r>
      <rPr>
        <b val="true"/>
        <i val="true"/>
        <sz val="8.5"/>
        <color rgb="FF7A2230"/>
        <rFont val="WenQuanYi Zen Hei"/>
        <family val="2"/>
      </rPr>
      <t xml:space="preserve">관세 스택</t>
    </r>
    <r>
      <rPr>
        <b val="true"/>
        <i val="true"/>
        <sz val="8.5"/>
        <color rgb="FF7A2230"/>
        <rFont val="Arial"/>
        <family val="0"/>
        <charset val="1"/>
      </rPr>
      <t xml:space="preserve">)</t>
    </r>
    <r>
      <rPr>
        <b val="true"/>
        <i val="true"/>
        <sz val="8.5"/>
        <color rgb="FF7A2230"/>
        <rFont val="WenQuanYi Zen Hei"/>
        <family val="2"/>
      </rPr>
      <t xml:space="preserve">이 미국 </t>
    </r>
    <r>
      <rPr>
        <b val="true"/>
        <i val="true"/>
        <sz val="8.5"/>
        <color rgb="FF7A2230"/>
        <rFont val="Arial"/>
        <family val="0"/>
        <charset val="1"/>
      </rPr>
      <t xml:space="preserve">ASP</t>
    </r>
    <r>
      <rPr>
        <b val="true"/>
        <i val="true"/>
        <sz val="8.5"/>
        <color rgb="FF7A2230"/>
        <rFont val="WenQuanYi Zen Hei"/>
        <family val="2"/>
      </rPr>
      <t xml:space="preserve">의 하한 — 미국산은 그 아래로 팔 이유 없음</t>
    </r>
  </si>
  <si>
    <t xml:space="preserve">$/kWh · %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</si>
  <si>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</si>
  <si>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</si>
  <si>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</si>
  <si>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</si>
  <si>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</si>
  <si>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</si>
  <si>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</si>
  <si>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</si>
  <si>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</si>
  <si>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</si>
  <si>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r>
      <rPr>
        <sz val="10"/>
        <color rgb="FF000000"/>
        <rFont val="WenQuanYi Zen Hei"/>
        <family val="2"/>
      </rPr>
      <t xml:space="preserve">중국산 </t>
    </r>
    <r>
      <rPr>
        <sz val="10"/>
        <color rgb="FF000000"/>
        <rFont val="Arial"/>
        <family val="0"/>
        <charset val="1"/>
      </rPr>
      <t xml:space="preserve">LFP </t>
    </r>
    <r>
      <rPr>
        <sz val="10"/>
        <color rgb="FF000000"/>
        <rFont val="WenQuanYi Zen Hei"/>
        <family val="2"/>
      </rPr>
      <t xml:space="preserve">셀가 </t>
    </r>
    <r>
      <rPr>
        <sz val="10"/>
        <color rgb="FF000000"/>
        <rFont val="Arial"/>
        <family val="0"/>
        <charset val="1"/>
      </rPr>
      <t xml:space="preserve">($/kWh) ★</t>
    </r>
  </si>
  <si>
    <r>
      <rPr>
        <i val="true"/>
        <sz val="8"/>
        <color rgb="FF8C8473"/>
        <rFont val="Arial"/>
        <family val="0"/>
        <charset val="1"/>
      </rPr>
      <t xml:space="preserve">'25 </t>
    </r>
    <r>
      <rPr>
        <i val="true"/>
        <sz val="8"/>
        <color rgb="FF8C8473"/>
        <rFont val="WenQuanYi Zen Hei"/>
        <family val="2"/>
      </rPr>
      <t xml:space="preserve">내수</t>
    </r>
    <r>
      <rPr>
        <i val="true"/>
        <sz val="8"/>
        <color rgb="FF8C8473"/>
        <rFont val="Arial"/>
        <family val="0"/>
        <charset val="1"/>
      </rPr>
      <t xml:space="preserve">~$40·</t>
    </r>
    <r>
      <rPr>
        <i val="true"/>
        <sz val="8"/>
        <color rgb="FF8C8473"/>
        <rFont val="WenQuanYi Zen Hei"/>
        <family val="2"/>
      </rPr>
      <t xml:space="preserve">수출</t>
    </r>
    <r>
      <rPr>
        <i val="true"/>
        <sz val="8"/>
        <color rgb="FF8C8473"/>
        <rFont val="Arial"/>
        <family val="0"/>
        <charset val="1"/>
      </rPr>
      <t xml:space="preserve">~$50</t>
    </r>
    <r>
      <rPr>
        <i val="true"/>
        <sz val="8"/>
        <color rgb="FF8C8473"/>
        <rFont val="WenQuanYi Zen Hei"/>
        <family val="2"/>
      </rPr>
      <t xml:space="preserve">대</t>
    </r>
  </si>
  <si>
    <r>
      <rPr>
        <sz val="10"/>
        <color rgb="FF000000"/>
        <rFont val="WenQuanYi Zen Hei"/>
        <family val="2"/>
      </rPr>
      <t xml:space="preserve">  기본관세 </t>
    </r>
    <r>
      <rPr>
        <sz val="10"/>
        <color rgb="FF000000"/>
        <rFont val="Arial"/>
        <family val="0"/>
        <charset val="1"/>
      </rPr>
      <t xml:space="preserve">MFN (%)</t>
    </r>
  </si>
  <si>
    <t xml:space="preserve">전세계 리튬이온 공통</t>
  </si>
  <si>
    <r>
      <rPr>
        <sz val="10"/>
        <color rgb="FF000000"/>
        <rFont val="WenQuanYi Zen Hei"/>
        <family val="2"/>
      </rPr>
      <t xml:space="preserve">  상호관세 </t>
    </r>
    <r>
      <rPr>
        <sz val="10"/>
        <color rgb="FF000000"/>
        <rFont val="Arial"/>
        <family val="0"/>
        <charset val="1"/>
      </rPr>
      <t xml:space="preserve">Reciprocal (%)</t>
    </r>
  </si>
  <si>
    <r>
      <rPr>
        <i val="true"/>
        <sz val="8"/>
        <color rgb="FF8C8473"/>
        <rFont val="Arial"/>
        <family val="0"/>
        <charset val="1"/>
      </rPr>
      <t xml:space="preserve">Sec.122 </t>
    </r>
    <r>
      <rPr>
        <i val="true"/>
        <sz val="8"/>
        <color rgb="FF8C8473"/>
        <rFont val="WenQuanYi Zen Hei"/>
        <family val="2"/>
      </rPr>
      <t xml:space="preserve">등</t>
    </r>
  </si>
  <si>
    <r>
      <rPr>
        <sz val="10"/>
        <color rgb="FF000000"/>
        <rFont val="WenQuanYi Zen Hei"/>
        <family val="2"/>
      </rPr>
      <t xml:space="preserve">  펜타닐 </t>
    </r>
    <r>
      <rPr>
        <sz val="10"/>
        <color rgb="FF000000"/>
        <rFont val="Arial"/>
        <family val="0"/>
        <charset val="1"/>
      </rPr>
      <t xml:space="preserve">IEEPA (%)</t>
    </r>
  </si>
  <si>
    <t xml:space="preserve">  Section 301 (%)</t>
  </si>
  <si>
    <r>
      <rPr>
        <i val="true"/>
        <sz val="8"/>
        <color rgb="FF8C8473"/>
        <rFont val="Arial"/>
        <family val="0"/>
        <charset val="1"/>
      </rPr>
      <t xml:space="preserve">'26~ 25% (</t>
    </r>
    <r>
      <rPr>
        <i val="true"/>
        <sz val="8"/>
        <color rgb="FF8C8473"/>
        <rFont val="WenQuanYi Zen Hei"/>
        <family val="2"/>
      </rPr>
      <t xml:space="preserve">비</t>
    </r>
    <r>
      <rPr>
        <i val="true"/>
        <sz val="8"/>
        <color rgb="FF8C8473"/>
        <rFont val="Arial"/>
        <family val="0"/>
        <charset val="1"/>
      </rPr>
      <t xml:space="preserve">EV </t>
    </r>
    <r>
      <rPr>
        <i val="true"/>
        <sz val="8"/>
        <color rgb="FF8C8473"/>
        <rFont val="WenQuanYi Zen Hei"/>
        <family val="2"/>
      </rPr>
      <t xml:space="preserve">배터리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</si>
  <si>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관세 합계 </t>
    </r>
    <r>
      <rPr>
        <b val="true"/>
        <sz val="10"/>
        <color rgb="FF000000"/>
        <rFont val="Arial"/>
        <family val="0"/>
        <charset val="1"/>
      </rPr>
      <t xml:space="preserve">(%)</t>
    </r>
  </si>
  <si>
    <t xml:space="preserve">합산</t>
  </si>
  <si>
    <r>
      <rPr>
        <b val="true"/>
        <sz val="10"/>
        <color rgb="FF7A2230"/>
        <rFont val="WenQuanYi Zen Hei"/>
        <family val="2"/>
      </rPr>
      <t xml:space="preserve">관세적용 중국산 </t>
    </r>
    <r>
      <rPr>
        <b val="true"/>
        <sz val="10"/>
        <color rgb="FF7A2230"/>
        <rFont val="Arial"/>
        <family val="0"/>
        <charset val="1"/>
      </rPr>
      <t xml:space="preserve">= ASP </t>
    </r>
    <r>
      <rPr>
        <b val="true"/>
        <sz val="10"/>
        <color rgb="FF7A2230"/>
        <rFont val="WenQuanYi Zen Hei"/>
        <family val="2"/>
      </rPr>
      <t xml:space="preserve">하한 </t>
    </r>
    <r>
      <rPr>
        <b val="true"/>
        <sz val="10"/>
        <color rgb="FF7A223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</si>
  <si>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</rPr>
      <t xml:space="preserve">중국셀가</t>
    </r>
    <r>
      <rPr>
        <i val="true"/>
        <sz val="8"/>
        <color rgb="FF8C8473"/>
        <rFont val="Arial"/>
        <family val="0"/>
        <charset val="1"/>
      </rPr>
      <t xml:space="preserve">×(1+</t>
    </r>
    <r>
      <rPr>
        <i val="true"/>
        <sz val="8"/>
        <color rgb="FF8C8473"/>
        <rFont val="WenQuanYi Zen Hei"/>
        <family val="2"/>
      </rPr>
      <t xml:space="preserve">관세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</si>
  <si>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미국산 프리미엄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하한 대비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</si>
  <si>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WenQuanYi Zen Hei"/>
        <family val="2"/>
      </rPr>
      <t xml:space="preserve">통념상 </t>
    </r>
    <r>
      <rPr>
        <i val="true"/>
        <sz val="8"/>
        <color rgb="FF8C8473"/>
        <rFont val="Arial"/>
        <family val="0"/>
        <charset val="1"/>
      </rPr>
      <t xml:space="preserve">+20% (FEOC·</t>
    </r>
    <r>
      <rPr>
        <i val="true"/>
        <sz val="8"/>
        <color rgb="FF8C8473"/>
        <rFont val="WenQuanYi Zen Hei"/>
        <family val="2"/>
      </rPr>
      <t xml:space="preserve">국산 프리미엄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</si>
  <si>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2E6FA8"/>
        <rFont val="Arial"/>
        <family val="0"/>
        <charset val="1"/>
      </rPr>
      <t xml:space="preserve">[</t>
    </r>
    <r>
      <rPr>
        <sz val="10"/>
        <color rgb="FF2E6FA8"/>
        <rFont val="WenQuanYi Zen Hei"/>
        <family val="2"/>
      </rPr>
      <t xml:space="preserve">방식</t>
    </r>
    <r>
      <rPr>
        <sz val="10"/>
        <color rgb="FF2E6FA8"/>
        <rFont val="Arial"/>
        <family val="0"/>
        <charset val="1"/>
      </rPr>
      <t xml:space="preserve">1] </t>
    </r>
    <r>
      <rPr>
        <sz val="10"/>
        <color rgb="FF2E6FA8"/>
        <rFont val="WenQuanYi Zen Hei"/>
        <family val="2"/>
      </rPr>
      <t xml:space="preserve">셀 </t>
    </r>
    <r>
      <rPr>
        <sz val="10"/>
        <color rgb="FF2E6FA8"/>
        <rFont val="Arial"/>
        <family val="0"/>
        <charset val="1"/>
      </rPr>
      <t xml:space="preserve">ASP = </t>
    </r>
    <r>
      <rPr>
        <sz val="10"/>
        <color rgb="FF2E6FA8"/>
        <rFont val="WenQuanYi Zen Hei"/>
        <family val="2"/>
      </rPr>
      <t xml:space="preserve">하한</t>
    </r>
    <r>
      <rPr>
        <sz val="10"/>
        <color rgb="FF2E6FA8"/>
        <rFont val="Arial"/>
        <family val="0"/>
        <charset val="1"/>
      </rPr>
      <t xml:space="preserve">×(1+</t>
    </r>
    <r>
      <rPr>
        <sz val="10"/>
        <color rgb="FF2E6FA8"/>
        <rFont val="WenQuanYi Zen Hei"/>
        <family val="2"/>
      </rPr>
      <t xml:space="preserve">프리미엄</t>
    </r>
    <r>
      <rPr>
        <sz val="10"/>
        <color rgb="FF2E6FA8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</si>
  <si>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</rPr>
      <t xml:space="preserve">토글</t>
    </r>
    <r>
      <rPr>
        <i val="true"/>
        <sz val="8"/>
        <color rgb="FF8C8473"/>
        <rFont val="Arial"/>
        <family val="0"/>
        <charset val="1"/>
      </rPr>
      <t xml:space="preserve">=1</t>
    </r>
    <r>
      <rPr>
        <i val="true"/>
        <sz val="8"/>
        <color rgb="FF8C8473"/>
        <rFont val="WenQuanYi Zen Hei"/>
        <family val="2"/>
      </rPr>
      <t xml:space="preserve">일 때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</si>
  <si>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방식</t>
    </r>
    <r>
      <rPr>
        <sz val="10"/>
        <color rgb="FF000000"/>
        <rFont val="Arial"/>
        <family val="0"/>
        <charset val="1"/>
      </rPr>
      <t xml:space="preserve">2] DC</t>
    </r>
    <r>
      <rPr>
        <sz val="10"/>
        <color rgb="FF000000"/>
        <rFont val="WenQuanYi Zen Hei"/>
        <family val="2"/>
      </rPr>
      <t xml:space="preserve">블록 </t>
    </r>
    <r>
      <rPr>
        <sz val="10"/>
        <color rgb="FF000000"/>
        <rFont val="Arial"/>
        <family val="0"/>
        <charset val="1"/>
      </rPr>
      <t xml:space="preserve">ASP ($/kWh) ★</t>
    </r>
  </si>
  <si>
    <r>
      <rPr>
        <i val="true"/>
        <sz val="8"/>
        <color rgb="FF8C8473"/>
        <rFont val="Arial"/>
        <family val="0"/>
        <charset val="1"/>
      </rPr>
      <t xml:space="preserve">$155 — </t>
    </r>
    <r>
      <rPr>
        <i val="true"/>
        <sz val="8"/>
        <color rgb="FF8C8473"/>
        <rFont val="WenQuanYi Zen Hei"/>
        <family val="2"/>
      </rPr>
      <t xml:space="preserve">셀</t>
    </r>
    <r>
      <rPr>
        <i val="true"/>
        <sz val="8"/>
        <color rgb="FF8C8473"/>
        <rFont val="Arial"/>
        <family val="0"/>
        <charset val="1"/>
      </rPr>
      <t xml:space="preserve">+</t>
    </r>
    <r>
      <rPr>
        <i val="true"/>
        <sz val="8"/>
        <color rgb="FF8C8473"/>
        <rFont val="WenQuanYi Zen Hei"/>
        <family val="2"/>
      </rPr>
      <t xml:space="preserve">모듈</t>
    </r>
    <r>
      <rPr>
        <i val="true"/>
        <sz val="8"/>
        <color rgb="FF8C8473"/>
        <rFont val="Arial"/>
        <family val="0"/>
        <charset val="1"/>
      </rPr>
      <t xml:space="preserve">+</t>
    </r>
    <r>
      <rPr>
        <i val="true"/>
        <sz val="8"/>
        <color rgb="FF8C8473"/>
        <rFont val="WenQuanYi Zen Hei"/>
        <family val="2"/>
      </rPr>
      <t xml:space="preserve">컨테이너 </t>
    </r>
    <r>
      <rPr>
        <i val="true"/>
        <sz val="8"/>
        <color rgb="FF8C8473"/>
        <rFont val="Arial"/>
        <family val="0"/>
        <charset val="1"/>
      </rPr>
      <t xml:space="preserve">DC</t>
    </r>
    <r>
      <rPr>
        <i val="true"/>
        <sz val="8"/>
        <color rgb="FF8C8473"/>
        <rFont val="WenQuanYi Zen Hei"/>
        <family val="2"/>
      </rPr>
      <t xml:space="preserve">블록 통합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</si>
  <si>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방식</t>
    </r>
    <r>
      <rPr>
        <sz val="10"/>
        <color rgb="FF000000"/>
        <rFont val="Arial"/>
        <family val="0"/>
        <charset val="1"/>
      </rPr>
      <t xml:space="preserve">2] </t>
    </r>
    <r>
      <rPr>
        <sz val="10"/>
        <color rgb="FF000000"/>
        <rFont val="WenQuanYi Zen Hei"/>
        <family val="2"/>
      </rPr>
      <t xml:space="preserve">시스템 마진 프리미엄 </t>
    </r>
    <r>
      <rPr>
        <sz val="10"/>
        <color rgb="FF000000"/>
        <rFont val="Arial"/>
        <family val="0"/>
        <charset val="1"/>
      </rPr>
      <t xml:space="preserve">(%p) ★</t>
    </r>
  </si>
  <si>
    <r>
      <rPr>
        <i val="true"/>
        <sz val="8"/>
        <color rgb="FF8C8473"/>
        <rFont val="Arial"/>
        <family val="0"/>
        <charset val="1"/>
      </rPr>
      <t xml:space="preserve">DC</t>
    </r>
    <r>
      <rPr>
        <i val="true"/>
        <sz val="8"/>
        <color rgb="FF8C8473"/>
        <rFont val="WenQuanYi Zen Hei"/>
        <family val="2"/>
      </rPr>
      <t xml:space="preserve">블록 </t>
    </r>
    <r>
      <rPr>
        <i val="true"/>
        <sz val="8"/>
        <color rgb="FF8C8473"/>
        <rFont val="Arial"/>
        <family val="0"/>
        <charset val="1"/>
      </rPr>
      <t xml:space="preserve">GM</t>
    </r>
    <r>
      <rPr>
        <i val="true"/>
        <sz val="8"/>
        <color rgb="FF8C8473"/>
        <rFont val="WenQuanYi Zen Hei"/>
        <family val="2"/>
      </rPr>
      <t xml:space="preserve">은 동별 </t>
    </r>
    <r>
      <rPr>
        <i val="true"/>
        <sz val="8"/>
        <color rgb="FF8C8473"/>
        <rFont val="Arial"/>
        <family val="0"/>
        <charset val="1"/>
      </rPr>
      <t xml:space="preserve">gross margin</t>
    </r>
    <r>
      <rPr>
        <i val="true"/>
        <sz val="8"/>
        <color rgb="FF8C8473"/>
        <rFont val="WenQuanYi Zen Hei"/>
        <family val="2"/>
      </rPr>
      <t xml:space="preserve">에 직접 반영</t>
    </r>
  </si>
  <si>
    <r>
      <rPr>
        <sz val="10"/>
        <color rgb="FF2E6FA8"/>
        <rFont val="WenQuanYi Zen Hei"/>
        <family val="2"/>
      </rPr>
      <t xml:space="preserve">적용 마진 프리미엄 </t>
    </r>
    <r>
      <rPr>
        <sz val="10"/>
        <color rgb="FF2E6FA8"/>
        <rFont val="Arial"/>
        <family val="0"/>
        <charset val="1"/>
      </rPr>
      <t xml:space="preserve">(</t>
    </r>
    <r>
      <rPr>
        <sz val="10"/>
        <color rgb="FF2E6FA8"/>
        <rFont val="WenQuanYi Zen Hei"/>
        <family val="2"/>
      </rPr>
      <t xml:space="preserve">토글 반영</t>
    </r>
    <r>
      <rPr>
        <sz val="10"/>
        <color rgb="FF2E6FA8"/>
        <rFont val="Arial"/>
        <family val="0"/>
        <charset val="1"/>
      </rPr>
      <t xml:space="preserve">)</t>
    </r>
  </si>
  <si>
    <r>
      <rPr>
        <b val="true"/>
        <sz val="10"/>
        <color rgb="FF2E6FA8"/>
        <rFont val="WenQuanYi Zen Hei"/>
        <family val="2"/>
      </rPr>
      <t xml:space="preserve">도출 </t>
    </r>
    <r>
      <rPr>
        <b val="true"/>
        <sz val="10"/>
        <color rgb="FF2E6FA8"/>
        <rFont val="Arial"/>
        <family val="0"/>
        <charset val="1"/>
      </rPr>
      <t xml:space="preserve">ASP — </t>
    </r>
    <r>
      <rPr>
        <b val="true"/>
        <sz val="10"/>
        <color rgb="FF2E6FA8"/>
        <rFont val="WenQuanYi Zen Hei"/>
        <family val="2"/>
      </rPr>
      <t xml:space="preserve">파우치 </t>
    </r>
    <r>
      <rPr>
        <b val="true"/>
        <sz val="10"/>
        <color rgb="FF2E6FA8"/>
        <rFont val="Arial"/>
        <family val="0"/>
        <charset val="1"/>
      </rPr>
      <t xml:space="preserve">($/kWh)</t>
    </r>
  </si>
  <si>
    <t xml:space="preserve">토글로 선택</t>
  </si>
  <si>
    <r>
      <rPr>
        <b val="true"/>
        <sz val="10"/>
        <color rgb="FFFFFFFF"/>
        <rFont val="Arial"/>
        <family val="0"/>
        <charset val="1"/>
      </rPr>
      <t xml:space="preserve">1 · SKBA (</t>
    </r>
    <r>
      <rPr>
        <b val="true"/>
        <sz val="10"/>
        <color rgb="FFFFFFFF"/>
        <rFont val="WenQuanYi Zen Hei"/>
        <family val="2"/>
      </rPr>
      <t xml:space="preserve">공장</t>
    </r>
    <r>
      <rPr>
        <b val="true"/>
        <sz val="10"/>
        <color rgb="FFFFFFFF"/>
        <rFont val="Arial"/>
        <family val="0"/>
        <charset val="1"/>
      </rPr>
      <t xml:space="preserve">1) — LFP </t>
    </r>
    <r>
      <rPr>
        <b val="true"/>
        <sz val="10"/>
        <color rgb="FFFFFFFF"/>
        <rFont val="WenQuanYi Zen Hei"/>
        <family val="2"/>
      </rPr>
      <t xml:space="preserve">파우치 </t>
    </r>
    <r>
      <rPr>
        <b val="true"/>
        <sz val="10"/>
        <color rgb="FFFFFFFF"/>
        <rFont val="Arial"/>
        <family val="0"/>
        <charset val="1"/>
      </rPr>
      <t xml:space="preserve">· 1-1</t>
    </r>
    <r>
      <rPr>
        <b val="true"/>
        <sz val="10"/>
        <color rgb="FFFFFFFF"/>
        <rFont val="WenQuanYi Zen Hei"/>
        <family val="2"/>
      </rPr>
      <t xml:space="preserve">동</t>
    </r>
    <r>
      <rPr>
        <b val="true"/>
        <sz val="10"/>
        <color rgb="FFFFFFFF"/>
        <rFont val="Arial"/>
        <family val="0"/>
        <charset val="1"/>
      </rPr>
      <t xml:space="preserve">(5.3×2, </t>
    </r>
    <r>
      <rPr>
        <b val="true"/>
        <sz val="10"/>
        <color rgb="FFFFFFFF"/>
        <rFont val="WenQuanYi Zen Hei"/>
        <family val="2"/>
      </rPr>
      <t xml:space="preserve">자체전극</t>
    </r>
    <r>
      <rPr>
        <b val="true"/>
        <sz val="10"/>
        <color rgb="FFFFFFFF"/>
        <rFont val="Arial"/>
        <family val="0"/>
        <charset val="1"/>
      </rPr>
      <t xml:space="preserve">) + 1-2</t>
    </r>
    <r>
      <rPr>
        <b val="true"/>
        <sz val="10"/>
        <color rgb="FFFFFFFF"/>
        <rFont val="WenQuanYi Zen Hei"/>
        <family val="2"/>
      </rPr>
      <t xml:space="preserve">동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전극 외부구매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</si>
  <si>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per-line</t>
  </si>
  <si>
    <r>
      <rPr>
        <b val="true"/>
        <sz val="9"/>
        <color rgb="FF1F3A63"/>
        <rFont val="WenQuanYi Zen Hei"/>
        <family val="2"/>
      </rPr>
      <t xml:space="preserve">  ▸ 공장</t>
    </r>
    <r>
      <rPr>
        <b val="true"/>
        <sz val="9"/>
        <color rgb="FF1F3A63"/>
        <rFont val="Arial"/>
        <family val="0"/>
        <charset val="1"/>
      </rPr>
      <t xml:space="preserve">1-1</t>
    </r>
    <r>
      <rPr>
        <b val="true"/>
        <sz val="9"/>
        <color rgb="FF1F3A63"/>
        <rFont val="WenQuanYi Zen Hei"/>
        <family val="2"/>
      </rPr>
      <t xml:space="preserve">동 </t>
    </r>
    <r>
      <rPr>
        <b val="true"/>
        <sz val="9"/>
        <color rgb="FF1F3A63"/>
        <rFont val="Arial"/>
        <family val="0"/>
        <charset val="1"/>
      </rPr>
      <t xml:space="preserve">(</t>
    </r>
    <r>
      <rPr>
        <b val="true"/>
        <sz val="9"/>
        <color rgb="FF1F3A63"/>
        <rFont val="WenQuanYi Zen Hei"/>
        <family val="2"/>
      </rPr>
      <t xml:space="preserve">파우치</t>
    </r>
    <r>
      <rPr>
        <b val="true"/>
        <sz val="9"/>
        <color rgb="FF1F3A63"/>
        <rFont val="Arial"/>
        <family val="0"/>
        <charset val="1"/>
      </rPr>
      <t xml:space="preserve">, '27, </t>
    </r>
    <r>
      <rPr>
        <b val="true"/>
        <sz val="9"/>
        <color rgb="FF1F3A63"/>
        <rFont val="WenQuanYi Zen Hei"/>
        <family val="2"/>
      </rPr>
      <t xml:space="preserve">라인당 </t>
    </r>
    <r>
      <rPr>
        <b val="true"/>
        <sz val="9"/>
        <color rgb="FF1F3A63"/>
        <rFont val="Arial"/>
        <family val="0"/>
        <charset val="1"/>
      </rPr>
      <t xml:space="preserve">5.3GW · </t>
    </r>
    <r>
      <rPr>
        <b val="true"/>
        <sz val="9"/>
        <color rgb="FF1F3A63"/>
        <rFont val="WenQuanYi Zen Hei"/>
        <family val="2"/>
      </rPr>
      <t xml:space="preserve">자체 전극</t>
    </r>
    <r>
      <rPr>
        <b val="true"/>
        <sz val="9"/>
        <color rgb="FF1F3A63"/>
        <rFont val="Arial"/>
        <family val="0"/>
        <charset val="1"/>
      </rPr>
      <t xml:space="preserve">)</t>
    </r>
  </si>
  <si>
    <t xml:space="preserve">  L1-1A</t>
  </si>
  <si>
    <r>
      <rPr>
        <i val="true"/>
        <sz val="8"/>
        <color rgb="FF8C8473"/>
        <rFont val="WenQuanYi Zen Hei"/>
        <family val="2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· COD 2027</t>
    </r>
  </si>
  <si>
    <t xml:space="preserve">    └ 가동률 ★</t>
  </si>
  <si>
    <t xml:space="preserve">    └ Shipped (GWh)</t>
  </si>
  <si>
    <r>
      <rPr>
        <i val="true"/>
        <sz val="8"/>
        <color rgb="FF8C8473"/>
        <rFont val="WenQuanYi Zen Hei"/>
        <family val="2"/>
      </rPr>
      <t xml:space="preserve">명판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</rPr>
      <t xml:space="preserve">가동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</rPr>
      <t xml:space="preserve">토글</t>
    </r>
  </si>
  <si>
    <t xml:space="preserve">  L1-1B</t>
  </si>
  <si>
    <r>
      <rPr>
        <b val="true"/>
        <sz val="9"/>
        <color rgb="FF1F3A63"/>
        <rFont val="WenQuanYi Zen Hei"/>
        <family val="2"/>
      </rPr>
      <t xml:space="preserve">  ▸ 공장</t>
    </r>
    <r>
      <rPr>
        <b val="true"/>
        <sz val="9"/>
        <color rgb="FF1F3A63"/>
        <rFont val="Arial"/>
        <family val="0"/>
        <charset val="1"/>
      </rPr>
      <t xml:space="preserve">1-2</t>
    </r>
    <r>
      <rPr>
        <b val="true"/>
        <sz val="9"/>
        <color rgb="FF1F3A63"/>
        <rFont val="WenQuanYi Zen Hei"/>
        <family val="2"/>
      </rPr>
      <t xml:space="preserve">동 </t>
    </r>
    <r>
      <rPr>
        <b val="true"/>
        <sz val="9"/>
        <color rgb="FF1F3A63"/>
        <rFont val="Arial"/>
        <family val="0"/>
        <charset val="1"/>
      </rPr>
      <t xml:space="preserve">(</t>
    </r>
    <r>
      <rPr>
        <b val="true"/>
        <sz val="9"/>
        <color rgb="FF1F3A63"/>
        <rFont val="WenQuanYi Zen Hei"/>
        <family val="2"/>
      </rPr>
      <t xml:space="preserve">파우치</t>
    </r>
    <r>
      <rPr>
        <b val="true"/>
        <sz val="9"/>
        <color rgb="FF1F3A63"/>
        <rFont val="Arial"/>
        <family val="0"/>
        <charset val="1"/>
      </rPr>
      <t xml:space="preserve">, '28, </t>
    </r>
    <r>
      <rPr>
        <b val="true"/>
        <sz val="9"/>
        <color rgb="FF1F3A63"/>
        <rFont val="WenQuanYi Zen Hei"/>
        <family val="2"/>
      </rPr>
      <t xml:space="preserve">전극 외부구매</t>
    </r>
    <r>
      <rPr>
        <b val="true"/>
        <sz val="9"/>
        <color rgb="FF1F3A63"/>
        <rFont val="Arial"/>
        <family val="0"/>
        <charset val="1"/>
      </rPr>
      <t xml:space="preserve">)</t>
    </r>
  </si>
  <si>
    <t xml:space="preserve">  L1-2C</t>
  </si>
  <si>
    <r>
      <rPr>
        <i val="true"/>
        <sz val="8"/>
        <color rgb="FF8C8473"/>
        <rFont val="WenQuanYi Zen Hei"/>
        <family val="2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· COD 2028</t>
    </r>
  </si>
  <si>
    <t xml:space="preserve">  L1-2D</t>
  </si>
  <si>
    <r>
      <rPr>
        <b val="true"/>
        <sz val="10"/>
        <color rgb="FF000000"/>
        <rFont val="Arial"/>
        <family val="0"/>
        <charset val="1"/>
      </rPr>
      <t xml:space="preserve">1-1</t>
    </r>
    <r>
      <rPr>
        <b val="true"/>
        <sz val="10"/>
        <color rgb="FF000000"/>
        <rFont val="WenQuanYi Zen Hei"/>
        <family val="2"/>
      </rPr>
      <t xml:space="preserve">동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</si>
  <si>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t xml:space="preserve">자체 전극</t>
  </si>
  <si>
    <r>
      <rPr>
        <b val="true"/>
        <sz val="10"/>
        <color rgb="FF000000"/>
        <rFont val="Arial"/>
        <family val="0"/>
        <charset val="1"/>
      </rPr>
      <t xml:space="preserve">1-2</t>
    </r>
    <r>
      <rPr>
        <b val="true"/>
        <sz val="10"/>
        <color rgb="FF000000"/>
        <rFont val="WenQuanYi Zen Hei"/>
        <family val="2"/>
      </rPr>
      <t xml:space="preserve">동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</si>
  <si>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t xml:space="preserve">전극 외부구매</t>
  </si>
  <si>
    <r>
      <rPr>
        <b val="true"/>
        <sz val="10"/>
        <color rgb="FF000000"/>
        <rFont val="Arial"/>
        <family val="0"/>
        <charset val="1"/>
      </rPr>
      <t xml:space="preserve">SKBA shipped </t>
    </r>
    <r>
      <rPr>
        <b val="true"/>
        <sz val="10"/>
        <color rgb="FF000000"/>
        <rFont val="WenQuanYi Zen Hei"/>
        <family val="2"/>
      </rPr>
      <t xml:space="preserve">합계 </t>
    </r>
    <r>
      <rPr>
        <b val="true"/>
        <sz val="10"/>
        <color rgb="FF000000"/>
        <rFont val="Arial"/>
        <family val="0"/>
        <charset val="1"/>
      </rPr>
      <t xml:space="preserve">(GWh)</t>
    </r>
  </si>
  <si>
    <r>
      <rPr>
        <i val="true"/>
        <sz val="8"/>
        <color rgb="FF8C8473"/>
        <rFont val="Arial"/>
        <family val="0"/>
        <charset val="1"/>
      </rPr>
      <t xml:space="preserve">4</t>
    </r>
    <r>
      <rPr>
        <i val="true"/>
        <sz val="8"/>
        <color rgb="FF8C8473"/>
        <rFont val="WenQuanYi Zen Hei"/>
        <family val="2"/>
      </rPr>
      <t xml:space="preserve">개 라인 합</t>
    </r>
  </si>
  <si>
    <r>
      <rPr>
        <sz val="10"/>
        <color rgb="FF000000"/>
        <rFont val="Arial"/>
        <family val="0"/>
        <charset val="1"/>
      </rPr>
      <t xml:space="preserve">ASP — </t>
    </r>
    <r>
      <rPr>
        <sz val="10"/>
        <color rgb="FF000000"/>
        <rFont val="WenQuanYi Zen Hei"/>
        <family val="2"/>
      </rPr>
      <t xml:space="preserve">파우치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</si>
  <si>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</rPr>
      <t xml:space="preserve">관세하한 도출 </t>
    </r>
    <r>
      <rPr>
        <i val="true"/>
        <sz val="8"/>
        <color rgb="FF8C8473"/>
        <rFont val="Arial"/>
        <family val="0"/>
        <charset val="1"/>
      </rPr>
      <t xml:space="preserve">ASP </t>
    </r>
    <r>
      <rPr>
        <i val="true"/>
        <sz val="8"/>
        <color rgb="FF8C8473"/>
        <rFont val="WenQuanYi Zen Hei"/>
        <family val="2"/>
      </rPr>
      <t xml:space="preserve">링크</t>
    </r>
  </si>
  <si>
    <r>
      <rPr>
        <sz val="10"/>
        <color rgb="FF000000"/>
        <rFont val="Arial"/>
        <family val="0"/>
        <charset val="1"/>
      </rPr>
      <t xml:space="preserve">  1-1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</si>
  <si>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i val="true"/>
        <sz val="8"/>
        <color rgb="FF8C8473"/>
        <rFont val="WenQuanYi Zen Hei"/>
        <family val="2"/>
      </rPr>
      <t xml:space="preserve">자체 전극</t>
    </r>
    <r>
      <rPr>
        <i val="true"/>
        <sz val="8"/>
        <color rgb="FF8C8473"/>
        <rFont val="Arial"/>
        <family val="0"/>
        <charset val="1"/>
      </rPr>
      <t xml:space="preserve">·ex-AMPC EBITDA 9% (</t>
    </r>
    <r>
      <rPr>
        <i val="true"/>
        <sz val="8"/>
        <color rgb="FF8C8473"/>
        <rFont val="WenQuanYi Zen Hei"/>
        <family val="2"/>
      </rPr>
      <t xml:space="preserve">지분 수익률 기준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</si>
  <si>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1-2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</si>
  <si>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i val="true"/>
        <sz val="8"/>
        <color rgb="FF8C8473"/>
        <rFont val="WenQuanYi Zen Hei"/>
        <family val="2"/>
      </rPr>
      <t xml:space="preserve">전극 외부구매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통합마진 반영</t>
    </r>
    <r>
      <rPr>
        <i val="true"/>
        <sz val="8"/>
        <color rgb="FF8C8473"/>
        <rFont val="Arial"/>
        <family val="0"/>
        <charset val="1"/>
      </rPr>
      <t xml:space="preserve">(ex-AMPC EBITDA 9%)</t>
    </r>
  </si>
  <si>
    <r>
      <rPr>
        <sz val="10"/>
        <color rgb="FF000000"/>
        <rFont val="Arial"/>
        <family val="0"/>
        <charset val="1"/>
      </rPr>
      <t xml:space="preserve">1-1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COGS ($/kWh)</t>
    </r>
  </si>
  <si>
    <r>
      <rPr>
        <i val="true"/>
        <sz val="8"/>
        <color rgb="FF8C8473"/>
        <rFont val="Arial"/>
        <family val="0"/>
        <charset val="1"/>
      </rPr>
      <t xml:space="preserve">ASP×(1−1-1</t>
    </r>
    <r>
      <rPr>
        <i val="true"/>
        <sz val="8"/>
        <color rgb="FF8C8473"/>
        <rFont val="WenQuanYi Zen Hei"/>
        <family val="2"/>
      </rPr>
      <t xml:space="preserve">마진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</si>
  <si>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1-2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COGS ($/kWh)</t>
    </r>
  </si>
  <si>
    <t xml:space="preserve">전극 외부구매로 원가↑</t>
  </si>
  <si>
    <r>
      <rPr>
        <sz val="10"/>
        <color rgb="FF000000"/>
        <rFont val="Arial"/>
        <family val="0"/>
        <charset val="1"/>
      </rPr>
      <t xml:space="preserve">Retrofit capex — 1-1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($mm) ★</t>
    </r>
  </si>
  <si>
    <t xml:space="preserve">전극공정 포함</t>
  </si>
  <si>
    <r>
      <rPr>
        <sz val="10"/>
        <color rgb="FF000000"/>
        <rFont val="Arial"/>
        <family val="0"/>
        <charset val="1"/>
      </rPr>
      <t xml:space="preserve">Retrofit capex — 1-2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</si>
  <si>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전극 외부구매→경량 </t>
    </r>
    <r>
      <rPr>
        <i val="true"/>
        <sz val="8"/>
        <color rgb="FF8C8473"/>
        <rFont val="Arial"/>
        <family val="0"/>
        <charset val="1"/>
      </rPr>
      <t xml:space="preserve">capex</t>
    </r>
  </si>
  <si>
    <r>
      <rPr>
        <b val="true"/>
        <sz val="10"/>
        <color rgb="FF000000"/>
        <rFont val="Arial"/>
        <family val="0"/>
        <charset val="1"/>
      </rPr>
      <t xml:space="preserve">SKBA capex </t>
    </r>
    <r>
      <rPr>
        <b val="true"/>
        <sz val="10"/>
        <color rgb="FF000000"/>
        <rFont val="WenQuanYi Zen Hei"/>
        <family val="2"/>
      </rPr>
      <t xml:space="preserve">합계 </t>
    </r>
    <r>
      <rPr>
        <b val="true"/>
        <sz val="10"/>
        <color rgb="FF000000"/>
        <rFont val="Arial"/>
        <family val="0"/>
        <charset val="1"/>
      </rPr>
      <t xml:space="preserve">($mm)</t>
    </r>
  </si>
  <si>
    <r>
      <rPr>
        <b val="true"/>
        <sz val="10"/>
        <color rgb="FFFFFFFF"/>
        <rFont val="Arial"/>
        <family val="0"/>
        <charset val="1"/>
      </rPr>
      <t xml:space="preserve">2 · SKOT (</t>
    </r>
    <r>
      <rPr>
        <b val="true"/>
        <sz val="10"/>
        <color rgb="FFFFFFFF"/>
        <rFont val="WenQuanYi Zen Hei"/>
        <family val="2"/>
      </rPr>
      <t xml:space="preserve">공장</t>
    </r>
    <r>
      <rPr>
        <b val="true"/>
        <sz val="10"/>
        <color rgb="FFFFFFFF"/>
        <rFont val="Arial"/>
        <family val="0"/>
        <charset val="1"/>
      </rPr>
      <t xml:space="preserve">2) — </t>
    </r>
    <r>
      <rPr>
        <b val="true"/>
        <sz val="10"/>
        <color rgb="FFFFFFFF"/>
        <rFont val="WenQuanYi Zen Hei"/>
        <family val="2"/>
      </rPr>
      <t xml:space="preserve">각형 </t>
    </r>
    <r>
      <rPr>
        <b val="true"/>
        <sz val="10"/>
        <color rgb="FFFFFFFF"/>
        <rFont val="Arial"/>
        <family val="0"/>
        <charset val="1"/>
      </rPr>
      <t xml:space="preserve">13.5×2 + </t>
    </r>
    <r>
      <rPr>
        <b val="true"/>
        <sz val="10"/>
        <color rgb="FFFFFFFF"/>
        <rFont val="WenQuanYi Zen Hei"/>
        <family val="2"/>
      </rPr>
      <t xml:space="preserve">파우치 </t>
    </r>
    <r>
      <rPr>
        <b val="true"/>
        <sz val="10"/>
        <color rgb="FFFFFFFF"/>
        <rFont val="Arial"/>
        <family val="0"/>
        <charset val="1"/>
      </rPr>
      <t xml:space="preserve">2.7 = 29.7 GWh · '28 </t>
    </r>
    <r>
      <rPr>
        <b val="true"/>
        <sz val="10"/>
        <color rgb="FFFFFFFF"/>
        <rFont val="WenQuanYi Zen Hei"/>
        <family val="2"/>
      </rPr>
      <t xml:space="preserve">가동</t>
    </r>
  </si>
  <si>
    <r>
      <rPr>
        <b val="true"/>
        <i val="true"/>
        <sz val="8.5"/>
        <color rgb="FF7A2230"/>
        <rFont val="WenQuanYi Zen Hei"/>
        <family val="2"/>
      </rPr>
      <t xml:space="preserve">라인당 캐파 입력값 </t>
    </r>
    <r>
      <rPr>
        <b val="true"/>
        <i val="true"/>
        <sz val="8.5"/>
        <color rgb="FF7A2230"/>
        <rFont val="Arial"/>
        <family val="0"/>
        <charset val="1"/>
      </rPr>
      <t xml:space="preserve">(</t>
    </r>
    <r>
      <rPr>
        <b val="true"/>
        <i val="true"/>
        <sz val="8.5"/>
        <color rgb="FF7A2230"/>
        <rFont val="WenQuanYi Zen Hei"/>
        <family val="2"/>
      </rPr>
      <t xml:space="preserve">각형 </t>
    </r>
    <r>
      <rPr>
        <b val="true"/>
        <i val="true"/>
        <sz val="8.5"/>
        <color rgb="FF7A2230"/>
        <rFont val="Arial"/>
        <family val="0"/>
        <charset val="1"/>
      </rPr>
      <t xml:space="preserve">13.5GW×2, </t>
    </r>
    <r>
      <rPr>
        <b val="true"/>
        <i val="true"/>
        <sz val="8.5"/>
        <color rgb="FF7A2230"/>
        <rFont val="WenQuanYi Zen Hei"/>
        <family val="2"/>
      </rPr>
      <t xml:space="preserve">파우치 </t>
    </r>
    <r>
      <rPr>
        <b val="true"/>
        <i val="true"/>
        <sz val="8.5"/>
        <color rgb="FF7A2230"/>
        <rFont val="Arial"/>
        <family val="0"/>
        <charset val="1"/>
      </rPr>
      <t xml:space="preserve">2.7GW) · COD 2028 </t>
    </r>
    <r>
      <rPr>
        <b val="true"/>
        <i val="true"/>
        <sz val="8.5"/>
        <color rgb="FF7A2230"/>
        <rFont val="WenQuanYi Zen Hei"/>
        <family val="2"/>
      </rPr>
      <t xml:space="preserve">가정</t>
    </r>
  </si>
  <si>
    <r>
      <rPr>
        <b val="true"/>
        <sz val="9"/>
        <color rgb="FF7A2230"/>
        <rFont val="WenQuanYi Zen Hei"/>
        <family val="2"/>
      </rPr>
      <t xml:space="preserve">  ▸ 각형 라인 </t>
    </r>
    <r>
      <rPr>
        <b val="true"/>
        <sz val="9"/>
        <color rgb="FF7A2230"/>
        <rFont val="Arial"/>
        <family val="0"/>
        <charset val="1"/>
      </rPr>
      <t xml:space="preserve">(prismatic) · </t>
    </r>
    <r>
      <rPr>
        <b val="true"/>
        <sz val="9"/>
        <color rgb="FF7A2230"/>
        <rFont val="WenQuanYi Zen Hei"/>
        <family val="2"/>
      </rPr>
      <t xml:space="preserve">라인당 </t>
    </r>
    <r>
      <rPr>
        <b val="true"/>
        <sz val="9"/>
        <color rgb="FF7A2230"/>
        <rFont val="Arial"/>
        <family val="0"/>
        <charset val="1"/>
      </rPr>
      <t xml:space="preserve">13.5GW</t>
    </r>
  </si>
  <si>
    <r>
      <rPr>
        <sz val="10"/>
        <color rgb="FF000000"/>
        <rFont val="WenQuanYi Zen Hei"/>
        <family val="2"/>
      </rPr>
      <t xml:space="preserve">  각형 </t>
    </r>
    <r>
      <rPr>
        <sz val="10"/>
        <color rgb="FF000000"/>
        <rFont val="Arial"/>
        <family val="0"/>
        <charset val="1"/>
      </rPr>
      <t xml:space="preserve">L1</t>
    </r>
  </si>
  <si>
    <r>
      <rPr>
        <i val="true"/>
        <sz val="8"/>
        <color rgb="FF8C8473"/>
        <rFont val="WenQuanYi Zen Hei"/>
        <family val="2"/>
      </rPr>
      <t xml:space="preserve">각형 </t>
    </r>
    <r>
      <rPr>
        <i val="true"/>
        <sz val="8"/>
        <color rgb="FF8C8473"/>
        <rFont val="Arial"/>
        <family val="0"/>
        <charset val="1"/>
      </rPr>
      <t xml:space="preserve">· COD 2028</t>
    </r>
  </si>
  <si>
    <r>
      <rPr>
        <sz val="10"/>
        <color rgb="FF000000"/>
        <rFont val="WenQuanYi Zen Hei"/>
        <family val="2"/>
      </rPr>
      <t xml:space="preserve">  각형 </t>
    </r>
    <r>
      <rPr>
        <sz val="10"/>
        <color rgb="FF000000"/>
        <rFont val="Arial"/>
        <family val="0"/>
        <charset val="1"/>
      </rPr>
      <t xml:space="preserve">L2</t>
    </r>
  </si>
  <si>
    <r>
      <rPr>
        <b val="true"/>
        <sz val="9"/>
        <color rgb="FF7A2230"/>
        <rFont val="WenQuanYi Zen Hei"/>
        <family val="2"/>
      </rPr>
      <t xml:space="preserve">  ▸ 파우치 라인 </t>
    </r>
    <r>
      <rPr>
        <b val="true"/>
        <sz val="9"/>
        <color rgb="FF7A2230"/>
        <rFont val="Arial"/>
        <family val="0"/>
        <charset val="1"/>
      </rPr>
      <t xml:space="preserve">(pouch) · 2.7GW</t>
    </r>
  </si>
  <si>
    <r>
      <rPr>
        <sz val="10"/>
        <color rgb="FF000000"/>
        <rFont val="WenQuanYi Zen Hei"/>
        <family val="2"/>
      </rPr>
      <t xml:space="preserve">  파우치 </t>
    </r>
    <r>
      <rPr>
        <sz val="10"/>
        <color rgb="FF000000"/>
        <rFont val="Arial"/>
        <family val="0"/>
        <charset val="1"/>
      </rPr>
      <t xml:space="preserve">L3</t>
    </r>
  </si>
  <si>
    <r>
      <rPr>
        <b val="true"/>
        <sz val="10"/>
        <color rgb="FF000000"/>
        <rFont val="Arial"/>
        <family val="0"/>
        <charset val="1"/>
      </rPr>
      <t xml:space="preserve">SKOT </t>
    </r>
    <r>
      <rPr>
        <b val="true"/>
        <sz val="10"/>
        <color rgb="FF000000"/>
        <rFont val="WenQuanYi Zen Hei"/>
        <family val="2"/>
      </rPr>
      <t xml:space="preserve">각형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</si>
  <si>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r>
      <rPr>
        <i val="true"/>
        <sz val="8"/>
        <color rgb="FF8C8473"/>
        <rFont val="WenQuanYi Zen Hei"/>
        <family val="2"/>
      </rPr>
      <t xml:space="preserve">각형 </t>
    </r>
    <r>
      <rPr>
        <i val="true"/>
        <sz val="8"/>
        <color rgb="FF8C8473"/>
        <rFont val="Arial"/>
        <family val="0"/>
        <charset val="1"/>
      </rPr>
      <t xml:space="preserve">2</t>
    </r>
    <r>
      <rPr>
        <i val="true"/>
        <sz val="8"/>
        <color rgb="FF8C8473"/>
        <rFont val="WenQuanYi Zen Hei"/>
        <family val="2"/>
      </rPr>
      <t xml:space="preserve">라인</t>
    </r>
  </si>
  <si>
    <r>
      <rPr>
        <b val="true"/>
        <sz val="10"/>
        <color rgb="FF000000"/>
        <rFont val="Arial"/>
        <family val="0"/>
        <charset val="1"/>
      </rPr>
      <t xml:space="preserve">SKOT </t>
    </r>
    <r>
      <rPr>
        <b val="true"/>
        <sz val="10"/>
        <color rgb="FF000000"/>
        <rFont val="WenQuanYi Zen Hei"/>
        <family val="2"/>
      </rPr>
      <t xml:space="preserve">파우치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</si>
  <si>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r>
      <rPr>
        <i val="true"/>
        <sz val="8"/>
        <color rgb="FF8C8473"/>
        <rFont val="WenQuanYi Zen Hei"/>
        <family val="2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1</t>
    </r>
    <r>
      <rPr>
        <i val="true"/>
        <sz val="8"/>
        <color rgb="FF8C8473"/>
        <rFont val="WenQuanYi Zen Hei"/>
        <family val="2"/>
      </rPr>
      <t xml:space="preserve">라인</t>
    </r>
  </si>
  <si>
    <r>
      <rPr>
        <sz val="10"/>
        <color rgb="FF000000"/>
        <rFont val="WenQuanYi Zen Hei"/>
        <family val="2"/>
      </rPr>
      <t xml:space="preserve">  각형 할인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파우치 대비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</si>
  <si>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WenQuanYi Zen Hei"/>
        <family val="2"/>
      </rPr>
      <t xml:space="preserve">각형 대용량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저가</t>
    </r>
  </si>
  <si>
    <r>
      <rPr>
        <sz val="10"/>
        <color rgb="FF000000"/>
        <rFont val="Arial"/>
        <family val="0"/>
        <charset val="1"/>
      </rPr>
      <t xml:space="preserve">ASP — </t>
    </r>
    <r>
      <rPr>
        <sz val="10"/>
        <color rgb="FF000000"/>
        <rFont val="WenQuanYi Zen Hei"/>
        <family val="2"/>
      </rPr>
      <t xml:space="preserve">각형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</si>
  <si>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</rPr>
      <t xml:space="preserve">도출</t>
    </r>
    <r>
      <rPr>
        <i val="true"/>
        <sz val="8"/>
        <color rgb="FF8C8473"/>
        <rFont val="Arial"/>
        <family val="0"/>
        <charset val="1"/>
      </rPr>
      <t xml:space="preserve">ASP×(1−</t>
    </r>
    <r>
      <rPr>
        <i val="true"/>
        <sz val="8"/>
        <color rgb="FF8C8473"/>
        <rFont val="WenQuanYi Zen Hei"/>
        <family val="2"/>
      </rPr>
      <t xml:space="preserve">할인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</si>
  <si>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  목표 각형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</si>
  <si>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sz val="10"/>
        <color rgb="FF000000"/>
        <rFont val="Arial"/>
        <family val="0"/>
        <charset val="1"/>
      </rPr>
      <t xml:space="preserve">COGS — </t>
    </r>
    <r>
      <rPr>
        <sz val="10"/>
        <color rgb="FF000000"/>
        <rFont val="WenQuanYi Zen Hei"/>
        <family val="2"/>
      </rPr>
      <t xml:space="preserve">각형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</si>
  <si>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Arial"/>
        <family val="0"/>
        <charset val="1"/>
      </rPr>
      <t xml:space="preserve">ASP×(1−</t>
    </r>
    <r>
      <rPr>
        <i val="true"/>
        <sz val="8"/>
        <color rgb="FF8C8473"/>
        <rFont val="WenQuanYi Zen Hei"/>
        <family val="2"/>
      </rPr>
      <t xml:space="preserve">마진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</si>
  <si>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</rPr>
      <t xml:space="preserve">도출</t>
    </r>
    <r>
      <rPr>
        <i val="true"/>
        <sz val="8"/>
        <color rgb="FF8C8473"/>
        <rFont val="Arial"/>
        <family val="0"/>
        <charset val="1"/>
      </rPr>
      <t xml:space="preserve">ASP </t>
    </r>
    <r>
      <rPr>
        <i val="true"/>
        <sz val="8"/>
        <color rgb="FF8C8473"/>
        <rFont val="WenQuanYi Zen Hei"/>
        <family val="2"/>
      </rPr>
      <t xml:space="preserve">링크</t>
    </r>
    <r>
      <rPr>
        <i val="true"/>
        <sz val="8"/>
        <color rgb="FF8C8473"/>
        <rFont val="Arial"/>
        <family val="0"/>
        <charset val="1"/>
      </rPr>
      <t xml:space="preserve">(SKBA </t>
    </r>
    <r>
      <rPr>
        <i val="true"/>
        <sz val="8"/>
        <color rgb="FF8C8473"/>
        <rFont val="WenQuanYi Zen Hei"/>
        <family val="2"/>
      </rPr>
      <t xml:space="preserve">동일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</si>
  <si>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  목표 파우치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</si>
  <si>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sz val="10"/>
        <color rgb="FF000000"/>
        <rFont val="Arial"/>
        <family val="0"/>
        <charset val="1"/>
      </rPr>
      <t xml:space="preserve">COGS — </t>
    </r>
    <r>
      <rPr>
        <sz val="10"/>
        <color rgb="FF000000"/>
        <rFont val="WenQuanYi Zen Hei"/>
        <family val="2"/>
      </rPr>
      <t xml:space="preserve">파우치 </t>
    </r>
    <r>
      <rPr>
        <sz val="10"/>
        <color rgb="FF000000"/>
        <rFont val="Arial"/>
        <family val="0"/>
        <charset val="1"/>
      </rPr>
      <t xml:space="preserve">($/kWh)</t>
    </r>
  </si>
  <si>
    <t xml:space="preserve">Retrofit capex ($mm) ★</t>
  </si>
  <si>
    <r>
      <rPr>
        <i val="true"/>
        <sz val="8"/>
        <color rgb="FF8C8473"/>
        <rFont val="WenQuanYi Zen Hei"/>
        <family val="2"/>
      </rPr>
      <t xml:space="preserve">개조 </t>
    </r>
    <r>
      <rPr>
        <i val="true"/>
        <sz val="8"/>
        <color rgb="FF8C8473"/>
        <rFont val="Arial"/>
        <family val="0"/>
        <charset val="1"/>
      </rPr>
      <t xml:space="preserve">~$1.0bn</t>
    </r>
  </si>
  <si>
    <t xml:space="preserve">3 · SHARED — OPEX / CAPEX / WC / DCF</t>
  </si>
  <si>
    <t xml:space="preserve">SG&amp;A (% of revenue) ★</t>
  </si>
  <si>
    <t xml:space="preserve">D&amp;A (% of gross PP&amp;E) ★</t>
  </si>
  <si>
    <t xml:space="preserve">≈15y</t>
  </si>
  <si>
    <t xml:space="preserve">Maintenance capex (% rev) ★</t>
  </si>
  <si>
    <r>
      <rPr>
        <sz val="10"/>
        <color rgb="FF000000"/>
        <rFont val="Arial"/>
        <family val="0"/>
        <charset val="1"/>
      </rPr>
      <t xml:space="preserve">CapEx </t>
    </r>
    <r>
      <rPr>
        <sz val="10"/>
        <color rgb="FF000000"/>
        <rFont val="WenQuanYi Zen Hei"/>
        <family val="2"/>
      </rPr>
      <t xml:space="preserve">정부 그랜트 </t>
    </r>
    <r>
      <rPr>
        <sz val="10"/>
        <color rgb="FF000000"/>
        <rFont val="Arial"/>
        <family val="0"/>
        <charset val="1"/>
      </rPr>
      <t xml:space="preserve">(% of growth capex) ★</t>
    </r>
  </si>
  <si>
    <r>
      <rPr>
        <i val="true"/>
        <sz val="8"/>
        <color rgb="FF8C8473"/>
        <rFont val="WenQuanYi Zen Hei"/>
        <family val="2"/>
      </rPr>
      <t xml:space="preserve">설비보조금→</t>
    </r>
    <r>
      <rPr>
        <i val="true"/>
        <sz val="8"/>
        <color rgb="FF8C8473"/>
        <rFont val="Arial"/>
        <family val="0"/>
        <charset val="1"/>
      </rPr>
      <t xml:space="preserve">SK </t>
    </r>
    <r>
      <rPr>
        <i val="true"/>
        <sz val="8"/>
        <color rgb="FF8C8473"/>
        <rFont val="WenQuanYi Zen Hei"/>
        <family val="2"/>
      </rPr>
      <t xml:space="preserve">출자 경감</t>
    </r>
  </si>
  <si>
    <t xml:space="preserve">Net working capital (% rev) ★</t>
  </si>
  <si>
    <t xml:space="preserve">Cash tax rate ★</t>
  </si>
  <si>
    <r>
      <rPr>
        <i val="true"/>
        <sz val="8"/>
        <color rgb="FF8C8473"/>
        <rFont val="Arial"/>
        <family val="0"/>
        <charset val="1"/>
      </rPr>
      <t xml:space="preserve">AMPC </t>
    </r>
    <r>
      <rPr>
        <i val="true"/>
        <sz val="8"/>
        <color rgb="FF8C8473"/>
        <rFont val="WenQuanYi Zen Hei"/>
        <family val="2"/>
      </rPr>
      <t xml:space="preserve">비과세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</si>
  <si>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기초 </t>
    </r>
    <r>
      <rPr>
        <sz val="10"/>
        <color rgb="FF000000"/>
        <rFont val="Arial"/>
        <family val="0"/>
        <charset val="1"/>
      </rPr>
      <t xml:space="preserve">NOL (</t>
    </r>
    <r>
      <rPr>
        <sz val="10"/>
        <color rgb="FF000000"/>
        <rFont val="WenQuanYi Zen Hei"/>
        <family val="2"/>
      </rPr>
      <t xml:space="preserve">누적결손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</si>
  <si>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SK</t>
    </r>
    <r>
      <rPr>
        <i val="true"/>
        <sz val="8"/>
        <color rgb="FF8C8473"/>
        <rFont val="WenQuanYi Zen Hei"/>
        <family val="2"/>
      </rPr>
      <t xml:space="preserve">온 출자분 중 누적손실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추정</t>
    </r>
    <r>
      <rPr>
        <i val="true"/>
        <sz val="8"/>
        <color rgb="FF8C8473"/>
        <rFont val="Arial"/>
        <family val="0"/>
        <charset val="1"/>
      </rPr>
      <t xml:space="preserve">·DART </t>
    </r>
    <r>
      <rPr>
        <i val="true"/>
        <sz val="8"/>
        <color rgb="FF8C8473"/>
        <rFont val="WenQuanYi Zen Hei"/>
        <family val="2"/>
      </rPr>
      <t xml:space="preserve">확인要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</si>
  <si>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</rPr>
      <t xml:space="preserve">기초 </t>
    </r>
    <r>
      <rPr>
        <sz val="10"/>
        <color rgb="FF000000"/>
        <rFont val="Arial"/>
        <family val="0"/>
        <charset val="1"/>
      </rPr>
      <t xml:space="preserve">NOL ★</t>
    </r>
  </si>
  <si>
    <r>
      <rPr>
        <i val="true"/>
        <sz val="8"/>
        <color rgb="FF8C8473"/>
        <rFont val="WenQuanYi Zen Hei"/>
        <family val="2"/>
      </rPr>
      <t xml:space="preserve">분할 신설 → </t>
    </r>
    <r>
      <rPr>
        <i val="true"/>
        <sz val="8"/>
        <color rgb="FF8C8473"/>
        <rFont val="Arial"/>
        <family val="0"/>
        <charset val="1"/>
      </rPr>
      <t xml:space="preserve">0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</si>
  <si>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공제 한도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과세소득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</si>
  <si>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Arial"/>
        <family val="0"/>
        <charset val="1"/>
      </rPr>
      <t xml:space="preserve">TCJA: 80%</t>
    </r>
    <r>
      <rPr>
        <i val="true"/>
        <sz val="8"/>
        <color rgb="FF8C8473"/>
        <rFont val="WenQuanYi Zen Hei"/>
        <family val="2"/>
      </rPr>
      <t xml:space="preserve">까지만 상계</t>
    </r>
  </si>
  <si>
    <t xml:space="preserve">WACC ★</t>
  </si>
  <si>
    <r>
      <rPr>
        <sz val="10"/>
        <color rgb="FF000000"/>
        <rFont val="Arial"/>
        <family val="0"/>
        <charset val="1"/>
      </rPr>
      <t xml:space="preserve">Cost of equity (FCFE </t>
    </r>
    <r>
      <rPr>
        <sz val="10"/>
        <color rgb="FF000000"/>
        <rFont val="WenQuanYi Zen Hei"/>
        <family val="2"/>
      </rPr>
      <t xml:space="preserve">할인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</si>
  <si>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WenQuanYi Zen Hei"/>
        <family val="2"/>
      </rPr>
      <t xml:space="preserve">레버리지 반영 </t>
    </r>
    <r>
      <rPr>
        <i val="true"/>
        <sz val="8"/>
        <color rgb="FF8C8473"/>
        <rFont val="Arial"/>
        <family val="0"/>
        <charset val="1"/>
      </rPr>
      <t xml:space="preserve">Ke</t>
    </r>
  </si>
  <si>
    <t xml:space="preserve">Terminal growth (TGR) ★</t>
  </si>
  <si>
    <t xml:space="preserve">Net debt incl. DOE loan ($mm) ★</t>
  </si>
  <si>
    <t xml:space="preserve">EV→Equity</t>
  </si>
  <si>
    <t xml:space="preserve">Mid-year convention</t>
  </si>
  <si>
    <r>
      <rPr>
        <b val="true"/>
        <sz val="10"/>
        <color rgb="FFFFFFFF"/>
        <rFont val="WenQuanYi Zen Hei"/>
        <family val="2"/>
      </rPr>
      <t xml:space="preserve">자본구조 — </t>
    </r>
    <r>
      <rPr>
        <b val="true"/>
        <sz val="10"/>
        <color rgb="FFFFFFFF"/>
        <rFont val="Arial"/>
        <family val="0"/>
        <charset val="1"/>
      </rPr>
      <t xml:space="preserve">FCFE</t>
    </r>
    <r>
      <rPr>
        <b val="true"/>
        <sz val="10"/>
        <color rgb="FFFFFFFF"/>
        <rFont val="WenQuanYi Zen Hei"/>
        <family val="2"/>
      </rPr>
      <t xml:space="preserve">용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하이브리드</t>
    </r>
    <r>
      <rPr>
        <b val="true"/>
        <sz val="10"/>
        <color rgb="FFFFFFFF"/>
        <rFont val="Arial"/>
        <family val="0"/>
        <charset val="1"/>
      </rPr>
      <t xml:space="preserve">: HoldCo </t>
    </r>
    <r>
      <rPr>
        <b val="true"/>
        <sz val="10"/>
        <color rgb="FFFFFFFF"/>
        <rFont val="WenQuanYi Zen Hei"/>
        <family val="2"/>
      </rPr>
      <t xml:space="preserve">우산 </t>
    </r>
    <r>
      <rPr>
        <b val="true"/>
        <sz val="10"/>
        <color rgb="FFFFFFFF"/>
        <rFont val="Arial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</rPr>
      <t xml:space="preserve">법인별 </t>
    </r>
    <r>
      <rPr>
        <b val="true"/>
        <sz val="10"/>
        <color rgb="FFFFFFFF"/>
        <rFont val="Arial"/>
        <family val="0"/>
        <charset val="1"/>
      </rPr>
      <t xml:space="preserve">ring-fence)</t>
    </r>
  </si>
  <si>
    <r>
      <rPr>
        <b val="true"/>
        <i val="true"/>
        <sz val="8.5"/>
        <color rgb="FF7A2230"/>
        <rFont val="WenQuanYi Zen Hei"/>
        <family val="2"/>
      </rPr>
      <t xml:space="preserve">위</t>
    </r>
    <r>
      <rPr>
        <b val="true"/>
        <i val="true"/>
        <sz val="8.5"/>
        <color rgb="FF7A2230"/>
        <rFont val="Arial"/>
        <family val="0"/>
        <charset val="1"/>
      </rPr>
      <t xml:space="preserve">(HoldCo)=</t>
    </r>
    <r>
      <rPr>
        <b val="true"/>
        <i val="true"/>
        <sz val="8.5"/>
        <color rgb="FF7A2230"/>
        <rFont val="WenQuanYi Zen Hei"/>
        <family val="2"/>
      </rPr>
      <t xml:space="preserve">통합 조달 </t>
    </r>
    <r>
      <rPr>
        <b val="true"/>
        <i val="true"/>
        <sz val="8.5"/>
        <color rgb="FF7A2230"/>
        <rFont val="Arial"/>
        <family val="0"/>
        <charset val="1"/>
      </rPr>
      <t xml:space="preserve">/ </t>
    </r>
    <r>
      <rPr>
        <b val="true"/>
        <i val="true"/>
        <sz val="8.5"/>
        <color rgb="FF7A2230"/>
        <rFont val="WenQuanYi Zen Hei"/>
        <family val="2"/>
      </rPr>
      <t xml:space="preserve">아래</t>
    </r>
    <r>
      <rPr>
        <b val="true"/>
        <i val="true"/>
        <sz val="8.5"/>
        <color rgb="FF7A2230"/>
        <rFont val="Arial"/>
        <family val="0"/>
        <charset val="1"/>
      </rPr>
      <t xml:space="preserve">(SPV)=</t>
    </r>
    <r>
      <rPr>
        <b val="true"/>
        <i val="true"/>
        <sz val="8.5"/>
        <color rgb="FF7A2230"/>
        <rFont val="WenQuanYi Zen Hei"/>
        <family val="2"/>
      </rPr>
      <t xml:space="preserve">격리</t>
    </r>
    <r>
      <rPr>
        <b val="true"/>
        <i val="true"/>
        <sz val="8.5"/>
        <color rgb="FF7A2230"/>
        <rFont val="Arial"/>
        <family val="0"/>
        <charset val="1"/>
      </rPr>
      <t xml:space="preserve">·non-recourse · waiver</t>
    </r>
    <r>
      <rPr>
        <b val="true"/>
        <i val="true"/>
        <sz val="8.5"/>
        <color rgb="FF7A2230"/>
        <rFont val="WenQuanYi Zen Hei"/>
        <family val="2"/>
      </rPr>
      <t xml:space="preserve">는 </t>
    </r>
    <r>
      <rPr>
        <b val="true"/>
        <i val="true"/>
        <sz val="8.5"/>
        <color rgb="FF7A2230"/>
        <rFont val="Arial"/>
        <family val="0"/>
        <charset val="1"/>
      </rPr>
      <t xml:space="preserve">OT </t>
    </r>
    <r>
      <rPr>
        <b val="true"/>
        <i val="true"/>
        <sz val="8.5"/>
        <color rgb="FF7A2230"/>
        <rFont val="WenQuanYi Zen Hei"/>
        <family val="2"/>
      </rPr>
      <t xml:space="preserve">후순위 출자에만 좁게 사용</t>
    </r>
  </si>
  <si>
    <r>
      <rPr>
        <b val="true"/>
        <sz val="9"/>
        <color rgb="FF7A2230"/>
        <rFont val="Arial"/>
        <family val="0"/>
        <charset val="1"/>
      </rPr>
      <t xml:space="preserve">  ▸ HoldCo </t>
    </r>
    <r>
      <rPr>
        <b val="true"/>
        <sz val="9"/>
        <color rgb="FF7A2230"/>
        <rFont val="WenQuanYi Zen Hei"/>
        <family val="2"/>
      </rPr>
      <t xml:space="preserve">레벨 </t>
    </r>
    <r>
      <rPr>
        <b val="true"/>
        <sz val="9"/>
        <color rgb="FF7A2230"/>
        <rFont val="Arial"/>
        <family val="0"/>
        <charset val="1"/>
      </rPr>
      <t xml:space="preserve">(</t>
    </r>
    <r>
      <rPr>
        <b val="true"/>
        <sz val="9"/>
        <color rgb="FF7A2230"/>
        <rFont val="WenQuanYi Zen Hei"/>
        <family val="2"/>
      </rPr>
      <t xml:space="preserve">정부앵커</t>
    </r>
    <r>
      <rPr>
        <b val="true"/>
        <sz val="9"/>
        <color rgb="FF7A2230"/>
        <rFont val="Arial"/>
        <family val="0"/>
        <charset val="1"/>
      </rPr>
      <t xml:space="preserve">·</t>
    </r>
    <r>
      <rPr>
        <b val="true"/>
        <sz val="9"/>
        <color rgb="FF7A2230"/>
        <rFont val="WenQuanYi Zen Hei"/>
        <family val="2"/>
      </rPr>
      <t xml:space="preserve">전략</t>
    </r>
    <r>
      <rPr>
        <b val="true"/>
        <sz val="9"/>
        <color rgb="FF7A2230"/>
        <rFont val="Arial"/>
        <family val="0"/>
        <charset val="1"/>
      </rPr>
      <t xml:space="preserve">·</t>
    </r>
    <r>
      <rPr>
        <b val="true"/>
        <sz val="9"/>
        <color rgb="FF7A2230"/>
        <rFont val="WenQuanYi Zen Hei"/>
        <family val="2"/>
      </rPr>
      <t xml:space="preserve">인프라 크레딧 통합 조달</t>
    </r>
    <r>
      <rPr>
        <b val="true"/>
        <sz val="9"/>
        <color rgb="FF7A223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</si>
  <si>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HoldCo · </t>
    </r>
    <r>
      <rPr>
        <sz val="10"/>
        <color rgb="FF000000"/>
        <rFont val="WenQuanYi Zen Hei"/>
        <family val="2"/>
      </rPr>
      <t xml:space="preserve">인프라 크레딧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메자닌 </t>
    </r>
    <r>
      <rPr>
        <sz val="10"/>
        <color rgb="FF000000"/>
        <rFont val="Arial"/>
        <family val="0"/>
        <charset val="1"/>
      </rPr>
      <t xml:space="preserve">($mm) ★</t>
    </r>
  </si>
  <si>
    <t xml:space="preserve">공통 조달 → 양 공장 후순위 출자</t>
  </si>
  <si>
    <r>
      <rPr>
        <sz val="10"/>
        <color rgb="FF000000"/>
        <rFont val="Arial"/>
        <family val="0"/>
        <charset val="1"/>
      </rPr>
      <t xml:space="preserve">HoldCo · </t>
    </r>
    <r>
      <rPr>
        <sz val="10"/>
        <color rgb="FF000000"/>
        <rFont val="WenQuanYi Zen Hei"/>
        <family val="2"/>
      </rPr>
      <t xml:space="preserve">크레딧 비용률 ★</t>
    </r>
  </si>
  <si>
    <t xml:space="preserve">통합조달 → 단독보다 저렴</t>
  </si>
  <si>
    <r>
      <rPr>
        <b val="true"/>
        <sz val="9"/>
        <color rgb="FF1F3A63"/>
        <rFont val="Arial"/>
        <family val="0"/>
        <charset val="1"/>
      </rPr>
      <t xml:space="preserve">  ▸ SKBA SPV (DOE-clean · </t>
    </r>
    <r>
      <rPr>
        <b val="true"/>
        <sz val="9"/>
        <color rgb="FF1F3A63"/>
        <rFont val="WenQuanYi Zen Hei"/>
        <family val="2"/>
      </rPr>
      <t xml:space="preserve">외부지분 ≤</t>
    </r>
    <r>
      <rPr>
        <b val="true"/>
        <sz val="9"/>
        <color rgb="FF1F3A63"/>
        <rFont val="Arial"/>
        <family val="0"/>
        <charset val="1"/>
      </rPr>
      <t xml:space="preserve">19.9%)</t>
    </r>
  </si>
  <si>
    <t xml:space="preserve">SKBA · project debt ($mm) ★</t>
  </si>
  <si>
    <r>
      <rPr>
        <i val="true"/>
        <sz val="8"/>
        <color rgb="FF8C8473"/>
        <rFont val="WenQuanYi Zen Hei"/>
        <family val="2"/>
      </rPr>
      <t xml:space="preserve">개조 </t>
    </r>
    <r>
      <rPr>
        <i val="true"/>
        <sz val="8"/>
        <color rgb="FF8C8473"/>
        <rFont val="Arial"/>
        <family val="0"/>
        <charset val="1"/>
      </rPr>
      <t xml:space="preserve">capex </t>
    </r>
    <r>
      <rPr>
        <i val="true"/>
        <sz val="8"/>
        <color rgb="FF8C8473"/>
        <rFont val="WenQuanYi Zen Hei"/>
        <family val="2"/>
      </rPr>
      <t xml:space="preserve">조달</t>
    </r>
  </si>
  <si>
    <r>
      <rPr>
        <sz val="10"/>
        <color rgb="FF000000"/>
        <rFont val="Arial"/>
        <family val="0"/>
        <charset val="1"/>
      </rPr>
      <t xml:space="preserve">SKBA · project debt </t>
    </r>
    <r>
      <rPr>
        <sz val="10"/>
        <color rgb="FF000000"/>
        <rFont val="WenQuanYi Zen Hei"/>
        <family val="2"/>
      </rPr>
      <t xml:space="preserve">이자율 ★</t>
    </r>
  </si>
  <si>
    <r>
      <rPr>
        <i val="true"/>
        <sz val="8"/>
        <color rgb="FF8C8473"/>
        <rFont val="Arial"/>
        <family val="0"/>
        <charset val="1"/>
      </rPr>
      <t xml:space="preserve">DOE-clean → </t>
    </r>
    <r>
      <rPr>
        <i val="true"/>
        <sz val="8"/>
        <color rgb="FF8C8473"/>
        <rFont val="WenQuanYi Zen Hei"/>
        <family val="2"/>
      </rPr>
      <t xml:space="preserve">저리</t>
    </r>
  </si>
  <si>
    <r>
      <rPr>
        <sz val="10"/>
        <color rgb="FF000000"/>
        <rFont val="Arial"/>
        <family val="0"/>
        <charset val="1"/>
      </rPr>
      <t xml:space="preserve">SKBA · HoldCo </t>
    </r>
    <r>
      <rPr>
        <sz val="10"/>
        <color rgb="FF000000"/>
        <rFont val="WenQuanYi Zen Hei"/>
        <family val="2"/>
      </rPr>
      <t xml:space="preserve">후순위 출자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</si>
  <si>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Arial"/>
        <family val="0"/>
        <charset val="1"/>
      </rPr>
      <t xml:space="preserve">HoldCo </t>
    </r>
    <r>
      <rPr>
        <i val="true"/>
        <sz val="8"/>
        <color rgb="FF8C8473"/>
        <rFont val="WenQuanYi Zen Hei"/>
        <family val="2"/>
      </rPr>
      <t xml:space="preserve">우산 배분</t>
    </r>
  </si>
  <si>
    <r>
      <rPr>
        <b val="true"/>
        <sz val="9"/>
        <color rgb="FF7A2230"/>
        <rFont val="Arial"/>
        <family val="0"/>
        <charset val="1"/>
      </rPr>
      <t xml:space="preserve">  ▸ SKOT SPV (DOE ring-fenced · waiver </t>
    </r>
    <r>
      <rPr>
        <b val="true"/>
        <sz val="9"/>
        <color rgb="FF7A2230"/>
        <rFont val="WenQuanYi Zen Hei"/>
        <family val="2"/>
      </rPr>
      <t xml:space="preserve">전제</t>
    </r>
    <r>
      <rPr>
        <b val="true"/>
        <sz val="9"/>
        <color rgb="FF7A223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</si>
  <si>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DOE loan </t>
    </r>
    <r>
      <rPr>
        <sz val="10"/>
        <color rgb="FF000000"/>
        <rFont val="WenQuanYi Zen Hei"/>
        <family val="2"/>
      </rPr>
      <t xml:space="preserve">잔액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</si>
  <si>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원금상환 없음</t>
    </r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</si>
  <si>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</rPr>
      <t xml:space="preserve">이자율 ★</t>
    </r>
  </si>
  <si>
    <r>
      <rPr>
        <i val="true"/>
        <sz val="8"/>
        <color rgb="FF8C8473"/>
        <rFont val="WenQuanYi Zen Hei"/>
        <family val="2"/>
      </rPr>
      <t xml:space="preserve">이자만 </t>
    </r>
    <r>
      <rPr>
        <i val="true"/>
        <sz val="8"/>
        <color rgb="FF8C8473"/>
        <rFont val="Arial"/>
        <family val="0"/>
        <charset val="1"/>
      </rPr>
      <t xml:space="preserve">5.0%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</si>
  <si>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</t>
    </r>
    <r>
      <rPr>
        <sz val="10"/>
        <color rgb="FF000000"/>
        <rFont val="Arial"/>
        <family val="0"/>
        <charset val="1"/>
      </rPr>
      <t xml:space="preserve">($mm) — </t>
    </r>
    <r>
      <rPr>
        <sz val="10"/>
        <color rgb="FF000000"/>
        <rFont val="WenQuanYi Zen Hei"/>
        <family val="2"/>
      </rPr>
      <t xml:space="preserve">제거 ★</t>
    </r>
  </si>
  <si>
    <r>
      <rPr>
        <i val="true"/>
        <sz val="8"/>
        <color rgb="FF8C8473"/>
        <rFont val="WenQuanYi Zen Hei"/>
        <family val="2"/>
      </rPr>
      <t xml:space="preserve">메자닌 제거</t>
    </r>
    <r>
      <rPr>
        <i val="true"/>
        <sz val="8"/>
        <color rgb="FF8C8473"/>
        <rFont val="Arial"/>
        <family val="0"/>
        <charset val="1"/>
      </rPr>
      <t xml:space="preserve">: OT</t>
    </r>
    <r>
      <rPr>
        <i val="true"/>
        <sz val="8"/>
        <color rgb="FF8C8473"/>
        <rFont val="WenQuanYi Zen Hei"/>
        <family val="2"/>
      </rPr>
      <t xml:space="preserve">는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(equity-down)</t>
    </r>
    <r>
      <rPr>
        <i val="true"/>
        <sz val="8"/>
        <color rgb="FF8C8473"/>
        <rFont val="WenQuanYi Zen Hei"/>
        <family val="2"/>
      </rPr>
      <t xml:space="preserve">로 자금조달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</si>
  <si>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배당률 </t>
    </r>
    <r>
      <rPr>
        <sz val="10"/>
        <color rgb="FF000000"/>
        <rFont val="Arial"/>
        <family val="0"/>
        <charset val="1"/>
      </rPr>
      <t xml:space="preserve">(inert) ★</t>
    </r>
  </si>
  <si>
    <r>
      <rPr>
        <i val="true"/>
        <sz val="8"/>
        <color rgb="FF8C8473"/>
        <rFont val="WenQuanYi Zen Hei"/>
        <family val="2"/>
      </rPr>
      <t xml:space="preserve">메자닌 제거로 미사용 </t>
    </r>
    <r>
      <rPr>
        <i val="true"/>
        <sz val="8"/>
        <color rgb="FF8C8473"/>
        <rFont val="Arial"/>
        <family val="0"/>
        <charset val="1"/>
      </rPr>
      <t xml:space="preserve">(bal=0)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</si>
  <si>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상환개시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연도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</si>
  <si>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(A)</t>
    </r>
    <r>
      <rPr>
        <i val="true"/>
        <sz val="8"/>
        <color rgb="FF8C8473"/>
        <rFont val="WenQuanYi Zen Hei"/>
        <family val="2"/>
      </rPr>
      <t xml:space="preserve">현금발생後 거치상환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</si>
  <si>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만기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연도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</si>
  <si>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(A)AMPC </t>
    </r>
    <r>
      <rPr>
        <i val="true"/>
        <sz val="8"/>
        <color rgb="FF8C8473"/>
        <rFont val="WenQuanYi Zen Hei"/>
        <family val="2"/>
      </rPr>
      <t xml:space="preserve">창내 상환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</si>
  <si>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에쿼티 키커 워런트 </t>
    </r>
    <r>
      <rPr>
        <sz val="10"/>
        <color rgb="FF000000"/>
        <rFont val="Arial"/>
        <family val="0"/>
        <charset val="1"/>
      </rPr>
      <t xml:space="preserve">(%) ★</t>
    </r>
  </si>
  <si>
    <r>
      <rPr>
        <i val="true"/>
        <sz val="8"/>
        <color rgb="FF8C8473"/>
        <rFont val="Arial"/>
        <family val="0"/>
        <charset val="1"/>
      </rPr>
      <t xml:space="preserve">(B)OT SPV </t>
    </r>
    <r>
      <rPr>
        <i val="true"/>
        <sz val="8"/>
        <color rgb="FF8C8473"/>
        <rFont val="WenQuanYi Zen Hei"/>
        <family val="2"/>
      </rPr>
      <t xml:space="preserve">지분</t>
    </r>
    <r>
      <rPr>
        <i val="true"/>
        <sz val="8"/>
        <color rgb="FF8C8473"/>
        <rFont val="Arial"/>
        <family val="0"/>
        <charset val="1"/>
      </rPr>
      <t xml:space="preserve">, </t>
    </r>
    <r>
      <rPr>
        <i val="true"/>
        <sz val="8"/>
        <color rgb="FF8C8473"/>
        <rFont val="WenQuanYi Zen Hei"/>
        <family val="2"/>
      </rPr>
      <t xml:space="preserve">현금정산형</t>
    </r>
  </si>
  <si>
    <r>
      <rPr>
        <sz val="10"/>
        <color rgb="FF000000"/>
        <rFont val="Arial"/>
        <family val="0"/>
        <charset val="1"/>
      </rPr>
      <t xml:space="preserve">SKOT · HoldCo </t>
    </r>
    <r>
      <rPr>
        <sz val="10"/>
        <color rgb="FF000000"/>
        <rFont val="WenQuanYi Zen Hei"/>
        <family val="2"/>
      </rPr>
      <t xml:space="preserve">후순위 출자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</si>
  <si>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Arial"/>
        <family val="0"/>
        <charset val="1"/>
      </rPr>
      <t xml:space="preserve">waiver </t>
    </r>
    <r>
      <rPr>
        <i val="true"/>
        <sz val="8"/>
        <color rgb="FF8C8473"/>
        <rFont val="WenQuanYi Zen Hei"/>
        <family val="2"/>
      </rPr>
      <t xml:space="preserve">전제</t>
    </r>
    <r>
      <rPr>
        <i val="true"/>
        <sz val="8"/>
        <color rgb="FF8C8473"/>
        <rFont val="Arial"/>
        <family val="0"/>
        <charset val="1"/>
      </rPr>
      <t xml:space="preserve">·DOE </t>
    </r>
    <r>
      <rPr>
        <i val="true"/>
        <sz val="8"/>
        <color rgb="FF8C8473"/>
        <rFont val="WenQuanYi Zen Hei"/>
        <family val="2"/>
      </rPr>
      <t xml:space="preserve">비담보 형태</t>
    </r>
  </si>
  <si>
    <r>
      <rPr>
        <i val="true"/>
        <sz val="8"/>
        <color rgb="FF8C8473"/>
        <rFont val="Arial"/>
        <family val="0"/>
        <charset val="1"/>
      </rPr>
      <t xml:space="preserve">FCFE = FCFF − </t>
    </r>
    <r>
      <rPr>
        <i val="true"/>
        <sz val="8"/>
        <color rgb="FF8C8473"/>
        <rFont val="WenQuanYi Zen Hei"/>
        <family val="2"/>
      </rPr>
      <t xml:space="preserve">이자</t>
    </r>
    <r>
      <rPr>
        <i val="true"/>
        <sz val="8"/>
        <color rgb="FF8C8473"/>
        <rFont val="Arial"/>
        <family val="0"/>
        <charset val="1"/>
      </rPr>
      <t xml:space="preserve">×(1−</t>
    </r>
    <r>
      <rPr>
        <i val="true"/>
        <sz val="8"/>
        <color rgb="FF8C8473"/>
        <rFont val="WenQuanYi Zen Hei"/>
        <family val="2"/>
      </rPr>
      <t xml:space="preserve">세금</t>
    </r>
    <r>
      <rPr>
        <i val="true"/>
        <sz val="8"/>
        <color rgb="FF8C8473"/>
        <rFont val="Arial"/>
        <family val="0"/>
        <charset val="1"/>
      </rPr>
      <t xml:space="preserve">) − </t>
    </r>
    <r>
      <rPr>
        <i val="true"/>
        <sz val="8"/>
        <color rgb="FF8C8473"/>
        <rFont val="WenQuanYi Zen Hei"/>
        <family val="2"/>
      </rPr>
      <t xml:space="preserve">우선배당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세후</t>
    </r>
    <r>
      <rPr>
        <i val="true"/>
        <sz val="8"/>
        <color rgb="FF8C8473"/>
        <rFont val="Arial"/>
        <family val="0"/>
        <charset val="1"/>
      </rPr>
      <t xml:space="preserve">) − HoldCo </t>
    </r>
    <r>
      <rPr>
        <i val="true"/>
        <sz val="8"/>
        <color rgb="FF8C8473"/>
        <rFont val="WenQuanYi Zen Hei"/>
        <family val="2"/>
      </rPr>
      <t xml:space="preserve">크레딧비용 배분 </t>
    </r>
    <r>
      <rPr>
        <i val="true"/>
        <sz val="8"/>
        <color rgb="FF8C8473"/>
        <rFont val="Arial"/>
        <family val="0"/>
        <charset val="1"/>
      </rPr>
      <t xml:space="preserve">± </t>
    </r>
    <r>
      <rPr>
        <i val="true"/>
        <sz val="8"/>
        <color rgb="FF8C8473"/>
        <rFont val="WenQuanYi Zen Hei"/>
        <family val="2"/>
      </rPr>
      <t xml:space="preserve">순차입</t>
    </r>
    <r>
      <rPr>
        <i val="true"/>
        <sz val="8"/>
        <color rgb="FF8C8473"/>
        <rFont val="Arial"/>
        <family val="0"/>
        <charset val="1"/>
      </rPr>
      <t xml:space="preserve">. DOE </t>
    </r>
    <r>
      <rPr>
        <i val="true"/>
        <sz val="8"/>
        <color rgb="FF8C8473"/>
        <rFont val="WenQuanYi Zen Hei"/>
        <family val="2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원금상환 </t>
    </r>
    <r>
      <rPr>
        <i val="true"/>
        <sz val="8"/>
        <color rgb="FF8C8473"/>
        <rFont val="Arial"/>
        <family val="0"/>
        <charset val="1"/>
      </rPr>
      <t xml:space="preserve">0).</t>
    </r>
  </si>
  <si>
    <r>
      <rPr>
        <i val="true"/>
        <sz val="8"/>
        <color rgb="FF8C8473"/>
        <rFont val="Arial"/>
        <family val="0"/>
        <charset val="1"/>
      </rPr>
      <t xml:space="preserve">HoldCo </t>
    </r>
    <r>
      <rPr>
        <i val="true"/>
        <sz val="8"/>
        <color rgb="FF8C8473"/>
        <rFont val="WenQuanYi Zen Hei"/>
        <family val="2"/>
      </rPr>
      <t xml:space="preserve">크레딧비용은 후순위 출자액 비례로 </t>
    </r>
    <r>
      <rPr>
        <i val="true"/>
        <sz val="8"/>
        <color rgb="FF8C8473"/>
        <rFont val="Arial"/>
        <family val="0"/>
        <charset val="1"/>
      </rPr>
      <t xml:space="preserve">BA·OT</t>
    </r>
    <r>
      <rPr>
        <i val="true"/>
        <sz val="8"/>
        <color rgb="FF8C8473"/>
        <rFont val="WenQuanYi Zen Hei"/>
        <family val="2"/>
      </rPr>
      <t xml:space="preserve">에 배분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세후</t>
    </r>
    <r>
      <rPr>
        <i val="true"/>
        <sz val="8"/>
        <color rgb="FF8C8473"/>
        <rFont val="Arial"/>
        <family val="0"/>
        <charset val="1"/>
      </rPr>
      <t xml:space="preserve">, tax-shield </t>
    </r>
    <r>
      <rPr>
        <i val="true"/>
        <sz val="8"/>
        <color rgb="FF8C8473"/>
        <rFont val="WenQuanYi Zen Hei"/>
        <family val="2"/>
      </rPr>
      <t xml:space="preserve">無 가정 — 메자닌 배당성격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</si>
  <si>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NAV ($mm) ★</t>
    </r>
  </si>
  <si>
    <r>
      <rPr>
        <i val="true"/>
        <sz val="8"/>
        <color rgb="FF8C8473"/>
        <rFont val="WenQuanYi Zen Hei"/>
        <family val="2"/>
      </rPr>
      <t xml:space="preserve">추정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출자</t>
    </r>
    <r>
      <rPr>
        <i val="true"/>
        <sz val="8"/>
        <color rgb="FF8C8473"/>
        <rFont val="Arial"/>
        <family val="0"/>
        <charset val="1"/>
      </rPr>
      <t xml:space="preserve">~4.8</t>
    </r>
    <r>
      <rPr>
        <i val="true"/>
        <sz val="8"/>
        <color rgb="FF8C8473"/>
        <rFont val="WenQuanYi Zen Hei"/>
        <family val="2"/>
      </rPr>
      <t xml:space="preserve">조−누적결손</t>
    </r>
    <r>
      <rPr>
        <i val="true"/>
        <sz val="8"/>
        <color rgb="FF8C8473"/>
        <rFont val="Arial"/>
        <family val="0"/>
        <charset val="1"/>
      </rPr>
      <t xml:space="preserve">, DART </t>
    </r>
    <r>
      <rPr>
        <i val="true"/>
        <sz val="8"/>
        <color rgb="FF8C8473"/>
        <rFont val="WenQuanYi Zen Hei"/>
        <family val="2"/>
      </rPr>
      <t xml:space="preserve">확인要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</si>
  <si>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NAV ($mm) ★</t>
    </r>
  </si>
  <si>
    <r>
      <rPr>
        <i val="true"/>
        <sz val="8"/>
        <color rgb="FF8C8473"/>
        <rFont val="WenQuanYi Zen Hei"/>
        <family val="2"/>
      </rPr>
      <t xml:space="preserve">분할 </t>
    </r>
    <r>
      <rPr>
        <i val="true"/>
        <sz val="8"/>
        <color rgb="FF8C8473"/>
        <rFont val="Arial"/>
        <family val="0"/>
        <charset val="1"/>
      </rPr>
      <t xml:space="preserve">PPA ~$3bn (DOE $4bn </t>
    </r>
    <r>
      <rPr>
        <i val="true"/>
        <sz val="8"/>
        <color rgb="FF8C8473"/>
        <rFont val="WenQuanYi Zen Hei"/>
        <family val="2"/>
      </rPr>
      <t xml:space="preserve">차감後 순자산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</si>
  <si>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Arial"/>
        <family val="0"/>
        <charset val="1"/>
      </rPr>
      <t xml:space="preserve">DART: SKBA </t>
    </r>
    <r>
      <rPr>
        <i val="true"/>
        <sz val="8"/>
        <color rgb="FF8C8473"/>
        <rFont val="WenQuanYi Zen Hei"/>
        <family val="2"/>
      </rPr>
      <t xml:space="preserve">순자산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손익은 </t>
    </r>
    <r>
      <rPr>
        <i val="true"/>
        <sz val="8"/>
        <color rgb="FF8C8473"/>
        <rFont val="Arial"/>
        <family val="0"/>
        <charset val="1"/>
      </rPr>
      <t xml:space="preserve">SK</t>
    </r>
    <r>
      <rPr>
        <i val="true"/>
        <sz val="8"/>
        <color rgb="FF8C8473"/>
        <rFont val="WenQuanYi Zen Hei"/>
        <family val="2"/>
      </rPr>
      <t xml:space="preserve">이노베이션 연결 사업보고서 종속기업 명세 공시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예 </t>
    </r>
    <r>
      <rPr>
        <i val="true"/>
        <sz val="8"/>
        <color rgb="FF8C8473"/>
        <rFont val="Arial"/>
        <family val="0"/>
        <charset val="1"/>
      </rPr>
      <t xml:space="preserve">'22 -4,608</t>
    </r>
    <r>
      <rPr>
        <i val="true"/>
        <sz val="8"/>
        <color rgb="FF8C8473"/>
        <rFont val="WenQuanYi Zen Hei"/>
        <family val="2"/>
      </rPr>
      <t xml:space="preserve">억원</t>
    </r>
    <r>
      <rPr>
        <i val="true"/>
        <sz val="8"/>
        <color rgb="FF8C8473"/>
        <rFont val="Arial"/>
        <family val="0"/>
        <charset val="1"/>
      </rPr>
      <t xml:space="preserve">). SKOT</t>
    </r>
    <r>
      <rPr>
        <i val="true"/>
        <sz val="8"/>
        <color rgb="FF8C8473"/>
        <rFont val="WenQuanYi Zen Hei"/>
        <family val="2"/>
      </rPr>
      <t xml:space="preserve">는 분할 신설→입력</t>
    </r>
    <r>
      <rPr>
        <i val="true"/>
        <sz val="8"/>
        <color rgb="FF8C8473"/>
        <rFont val="Arial"/>
        <family val="0"/>
        <charset val="1"/>
      </rPr>
      <t xml:space="preserve">. AMPC </t>
    </r>
    <r>
      <rPr>
        <i val="true"/>
        <sz val="8"/>
        <color rgb="FF8C8473"/>
        <rFont val="WenQuanYi Zen Hei"/>
        <family val="2"/>
      </rPr>
      <t xml:space="preserve">옵션</t>
    </r>
    <r>
      <rPr>
        <i val="true"/>
        <sz val="8"/>
        <color rgb="FF8C8473"/>
        <rFont val="Arial"/>
        <family val="0"/>
        <charset val="1"/>
      </rPr>
      <t xml:space="preserve">A(</t>
    </r>
    <r>
      <rPr>
        <i val="true"/>
        <sz val="8"/>
        <color rgb="FF8C8473"/>
        <rFont val="WenQuanYi Zen Hei"/>
        <family val="2"/>
      </rPr>
      <t xml:space="preserve">셀 </t>
    </r>
    <r>
      <rPr>
        <i val="true"/>
        <sz val="8"/>
        <color rgb="FF8C8473"/>
        <rFont val="Arial"/>
        <family val="0"/>
        <charset val="1"/>
      </rPr>
      <t xml:space="preserve">$35·</t>
    </r>
    <r>
      <rPr>
        <i val="true"/>
        <sz val="8"/>
        <color rgb="FF8C8473"/>
        <rFont val="WenQuanYi Zen Hei"/>
        <family val="2"/>
      </rPr>
      <t xml:space="preserve">법정 </t>
    </r>
    <r>
      <rPr>
        <i val="true"/>
        <sz val="8"/>
        <color rgb="FF8C8473"/>
        <rFont val="Arial"/>
        <family val="0"/>
        <charset val="1"/>
      </rPr>
      <t xml:space="preserve">phase-out, </t>
    </r>
    <r>
      <rPr>
        <i val="true"/>
        <sz val="8"/>
        <color rgb="FF8C8473"/>
        <rFont val="WenQuanYi Zen Hei"/>
        <family val="2"/>
      </rPr>
      <t xml:space="preserve">모듈 미반영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</si>
  <si>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i val="true"/>
        <sz val="8"/>
        <color rgb="FFC1121F"/>
        <rFont val="Arial"/>
        <family val="0"/>
        <charset val="1"/>
      </rPr>
      <t xml:space="preserve">NAV: SKBA </t>
    </r>
    <r>
      <rPr>
        <i val="true"/>
        <sz val="8"/>
        <color rgb="FFC1121F"/>
        <rFont val="WenQuanYi Zen Hei"/>
        <family val="2"/>
      </rPr>
      <t xml:space="preserve">순자산 </t>
    </r>
    <r>
      <rPr>
        <i val="true"/>
        <sz val="8"/>
        <color rgb="FFC1121F"/>
        <rFont val="Arial"/>
        <family val="0"/>
        <charset val="1"/>
      </rPr>
      <t xml:space="preserve">~$2.0bn (</t>
    </r>
    <r>
      <rPr>
        <i val="true"/>
        <sz val="8"/>
        <color rgb="FFC1121F"/>
        <rFont val="WenQuanYi Zen Hei"/>
        <family val="2"/>
      </rPr>
      <t xml:space="preserve">추정</t>
    </r>
    <r>
      <rPr>
        <i val="true"/>
        <sz val="8"/>
        <color rgb="FFC1121F"/>
        <rFont val="Arial"/>
        <family val="0"/>
        <charset val="1"/>
      </rPr>
      <t xml:space="preserve">: SK</t>
    </r>
    <r>
      <rPr>
        <i val="true"/>
        <sz val="8"/>
        <color rgb="FFC1121F"/>
        <rFont val="WenQuanYi Zen Hei"/>
        <family val="2"/>
      </rPr>
      <t xml:space="preserve">온 출자 </t>
    </r>
    <r>
      <rPr>
        <i val="true"/>
        <sz val="8"/>
        <color rgb="FFC1121F"/>
        <rFont val="Arial"/>
        <family val="0"/>
        <charset val="1"/>
      </rPr>
      <t xml:space="preserve">~4.8</t>
    </r>
    <r>
      <rPr>
        <i val="true"/>
        <sz val="8"/>
        <color rgb="FFC1121F"/>
        <rFont val="WenQuanYi Zen Hei"/>
        <family val="2"/>
      </rPr>
      <t xml:space="preserve">조원 − 누적결손</t>
    </r>
    <r>
      <rPr>
        <i val="true"/>
        <sz val="8"/>
        <color rgb="FFC1121F"/>
        <rFont val="Arial"/>
        <family val="0"/>
        <charset val="1"/>
      </rPr>
      <t xml:space="preserve">; DART </t>
    </r>
    <r>
      <rPr>
        <i val="true"/>
        <sz val="8"/>
        <color rgb="FFC1121F"/>
        <rFont val="WenQuanYi Zen Hei"/>
        <family val="2"/>
      </rPr>
      <t xml:space="preserve">자본총계 확인 필요</t>
    </r>
    <r>
      <rPr>
        <i val="true"/>
        <sz val="8"/>
        <color rgb="FFC1121F"/>
        <rFont val="Arial"/>
        <family val="0"/>
        <charset val="1"/>
      </rPr>
      <t xml:space="preserve">) · SKOT $3.0bn (</t>
    </r>
    <r>
      <rPr>
        <i val="true"/>
        <sz val="8"/>
        <color rgb="FFC1121F"/>
        <rFont val="WenQuanYi Zen Hei"/>
        <family val="2"/>
      </rPr>
      <t xml:space="preserve">분할 </t>
    </r>
    <r>
      <rPr>
        <i val="true"/>
        <sz val="8"/>
        <color rgb="FFC1121F"/>
        <rFont val="Arial"/>
        <family val="0"/>
        <charset val="1"/>
      </rPr>
      <t xml:space="preserve">PPA). SOTP </t>
    </r>
    <r>
      <rPr>
        <i val="true"/>
        <sz val="8"/>
        <color rgb="FFC1121F"/>
        <rFont val="WenQuanYi Zen Hei"/>
        <family val="2"/>
      </rPr>
      <t xml:space="preserve">교차검증용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</si>
  <si>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b val="true"/>
        <sz val="14"/>
        <color rgb="FF1B1714"/>
        <rFont val="Arial"/>
        <family val="0"/>
        <charset val="1"/>
      </rPr>
      <t xml:space="preserve">SKBA — P&amp;L → FCFF (4</t>
    </r>
    <r>
      <rPr>
        <b val="true"/>
        <sz val="14"/>
        <color rgb="FF1B1714"/>
        <rFont val="WenQuanYi Zen Hei"/>
        <family val="2"/>
      </rPr>
      <t xml:space="preserve">개 파우치 라인</t>
    </r>
    <r>
      <rPr>
        <b val="true"/>
        <sz val="14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</si>
  <si>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</rPr>
      <t xml:space="preserve">공장</t>
    </r>
    <r>
      <rPr>
        <sz val="9"/>
        <color rgb="FF8C8473"/>
        <rFont val="Arial"/>
        <family val="0"/>
        <charset val="1"/>
      </rPr>
      <t xml:space="preserve">1-1(L1-1A/B '27) + </t>
    </r>
    <r>
      <rPr>
        <sz val="9"/>
        <color rgb="FF8C8473"/>
        <rFont val="WenQuanYi Zen Hei"/>
        <family val="2"/>
      </rPr>
      <t xml:space="preserve">공장</t>
    </r>
    <r>
      <rPr>
        <sz val="9"/>
        <color rgb="FF8C8473"/>
        <rFont val="Arial"/>
        <family val="0"/>
        <charset val="1"/>
      </rPr>
      <t xml:space="preserve">1-2(L1-2C/D '28) · </t>
    </r>
    <r>
      <rPr>
        <sz val="9"/>
        <color rgb="FF8C8473"/>
        <rFont val="WenQuanYi Zen Hei"/>
        <family val="2"/>
      </rPr>
      <t xml:space="preserve">라인 합산</t>
    </r>
  </si>
  <si>
    <t xml:space="preserve">REVENUE</t>
  </si>
  <si>
    <t xml:space="preserve">($mm)</t>
  </si>
  <si>
    <t xml:space="preserve">Shipped (GWh)</t>
  </si>
  <si>
    <t xml:space="preserve">ASP ($/kWh)</t>
  </si>
  <si>
    <t xml:space="preserve">Revenue</t>
  </si>
  <si>
    <r>
      <rPr>
        <sz val="10"/>
        <color rgb="FF000000"/>
        <rFont val="Arial"/>
        <family val="0"/>
        <charset val="1"/>
      </rPr>
      <t xml:space="preserve">Cash COGS (1-1</t>
    </r>
    <r>
      <rPr>
        <sz val="10"/>
        <color rgb="FF000000"/>
        <rFont val="WenQuanYi Zen Hei"/>
        <family val="2"/>
      </rPr>
      <t xml:space="preserve">동</t>
    </r>
    <r>
      <rPr>
        <sz val="10"/>
        <color rgb="FF000000"/>
        <rFont val="Arial"/>
        <family val="0"/>
        <charset val="1"/>
      </rPr>
      <t xml:space="preserve">+1-2</t>
    </r>
    <r>
      <rPr>
        <sz val="10"/>
        <color rgb="FF000000"/>
        <rFont val="WenQuanYi Zen Hei"/>
        <family val="2"/>
      </rPr>
      <t xml:space="preserve">동</t>
    </r>
    <r>
      <rPr>
        <sz val="10"/>
        <color rgb="FF000000"/>
        <rFont val="Arial"/>
        <family val="0"/>
        <charset val="1"/>
      </rPr>
      <t xml:space="preserve">)</t>
    </r>
  </si>
  <si>
    <t xml:space="preserve">COST &amp; EBIT</t>
  </si>
  <si>
    <t xml:space="preserve">Gross profit (pre-AMPC)</t>
  </si>
  <si>
    <t xml:space="preserve">SG&amp;A</t>
  </si>
  <si>
    <t xml:space="preserve">Gross PP&amp;E (cum.)</t>
  </si>
  <si>
    <t xml:space="preserve">D&amp;A</t>
  </si>
  <si>
    <t xml:space="preserve">EBIT (pre-AMPC)</t>
  </si>
  <si>
    <t xml:space="preserve">  margin pre-AMPC</t>
  </si>
  <si>
    <t xml:space="preserve">Plus: AMPC 45X</t>
  </si>
  <si>
    <t xml:space="preserve">EBIT (incl. AMPC)</t>
  </si>
  <si>
    <t xml:space="preserve">UNLEVERED FCFF</t>
  </si>
  <si>
    <r>
      <rPr>
        <sz val="10"/>
        <color rgb="FF000000"/>
        <rFont val="WenQuanYi Zen Hei"/>
        <family val="2"/>
      </rPr>
      <t xml:space="preserve">과세소득 </t>
    </r>
    <r>
      <rPr>
        <sz val="10"/>
        <color rgb="FF000000"/>
        <rFont val="Arial"/>
        <family val="0"/>
        <charset val="1"/>
      </rPr>
      <t xml:space="preserve">pre-NOL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</si>
  <si>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기초잔액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</si>
  <si>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사용 </t>
    </r>
    <r>
      <rPr>
        <sz val="10"/>
        <color rgb="FF000000"/>
        <rFont val="Arial"/>
        <family val="0"/>
        <charset val="1"/>
      </rPr>
      <t xml:space="preserve">(80% </t>
    </r>
    <r>
      <rPr>
        <sz val="10"/>
        <color rgb="FF000000"/>
        <rFont val="WenQuanYi Zen Hei"/>
        <family val="2"/>
      </rPr>
      <t xml:space="preserve">한도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</si>
  <si>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추가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당기손실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</si>
  <si>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기말잔액</t>
    </r>
  </si>
  <si>
    <r>
      <rPr>
        <sz val="10"/>
        <color rgb="FF000000"/>
        <rFont val="WenQuanYi Zen Hei"/>
        <family val="2"/>
      </rPr>
      <t xml:space="preserve">과세소득 </t>
    </r>
    <r>
      <rPr>
        <sz val="10"/>
        <color rgb="FF000000"/>
        <rFont val="Arial"/>
        <family val="0"/>
        <charset val="1"/>
      </rPr>
      <t xml:space="preserve">post-NOL</t>
    </r>
  </si>
  <si>
    <r>
      <rPr>
        <sz val="10"/>
        <color rgb="FF000000"/>
        <rFont val="WenQuanYi Zen Hei"/>
        <family val="2"/>
      </rPr>
      <t xml:space="preserve">현금세금 </t>
    </r>
    <r>
      <rPr>
        <sz val="10"/>
        <color rgb="FF000000"/>
        <rFont val="Arial"/>
        <family val="0"/>
        <charset val="1"/>
      </rPr>
      <t xml:space="preserve">(AMPC </t>
    </r>
    <r>
      <rPr>
        <sz val="10"/>
        <color rgb="FF000000"/>
        <rFont val="WenQuanYi Zen Hei"/>
        <family val="2"/>
      </rPr>
      <t xml:space="preserve">비과세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</si>
  <si>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Arial"/>
        <family val="0"/>
        <charset val="1"/>
      </rPr>
      <t xml:space="preserve">NOPAT (NOL </t>
    </r>
    <r>
      <rPr>
        <b val="true"/>
        <sz val="10"/>
        <color rgb="FF1B1714"/>
        <rFont val="WenQuanYi Zen Hei"/>
        <family val="2"/>
      </rPr>
      <t xml:space="preserve">반영</t>
    </r>
    <r>
      <rPr>
        <b val="true"/>
        <sz val="10"/>
        <color rgb="FF1B1714"/>
        <rFont val="Arial"/>
        <family val="0"/>
        <charset val="1"/>
      </rPr>
      <t xml:space="preserve">)</t>
    </r>
  </si>
  <si>
    <t xml:space="preserve">Plus: D&amp;A</t>
  </si>
  <si>
    <t xml:space="preserve">Less: maint capex</t>
  </si>
  <si>
    <t xml:space="preserve">Less: growth capex</t>
  </si>
  <si>
    <r>
      <rPr>
        <sz val="10"/>
        <color rgb="FF000000"/>
        <rFont val="Arial"/>
        <family val="0"/>
        <charset val="1"/>
      </rPr>
      <t xml:space="preserve">Plus: CapEx </t>
    </r>
    <r>
      <rPr>
        <sz val="10"/>
        <color rgb="FF000000"/>
        <rFont val="WenQuanYi Zen Hei"/>
        <family val="2"/>
      </rPr>
      <t xml:space="preserve">그랜트 </t>
    </r>
    <r>
      <rPr>
        <sz val="10"/>
        <color rgb="FF000000"/>
        <rFont val="Arial"/>
        <family val="0"/>
        <charset val="1"/>
      </rPr>
      <t xml:space="preserve">(10%)</t>
    </r>
  </si>
  <si>
    <t xml:space="preserve">NWC level</t>
  </si>
  <si>
    <t xml:space="preserve">Less: ΔNWC</t>
  </si>
  <si>
    <t xml:space="preserve">Unlevered FCFF</t>
  </si>
  <si>
    <r>
      <rPr>
        <b val="true"/>
        <sz val="14"/>
        <color rgb="FF1B1714"/>
        <rFont val="Arial"/>
        <family val="0"/>
        <charset val="1"/>
      </rPr>
      <t xml:space="preserve">SKOT — P&amp;L → FCFF (</t>
    </r>
    <r>
      <rPr>
        <b val="true"/>
        <sz val="14"/>
        <color rgb="FF1B1714"/>
        <rFont val="WenQuanYi Zen Hei"/>
        <family val="2"/>
      </rPr>
      <t xml:space="preserve">각형 </t>
    </r>
    <r>
      <rPr>
        <b val="true"/>
        <sz val="14"/>
        <color rgb="FF1B1714"/>
        <rFont val="Arial"/>
        <family val="0"/>
        <charset val="1"/>
      </rPr>
      <t xml:space="preserve">2</t>
    </r>
    <r>
      <rPr>
        <b val="true"/>
        <sz val="14"/>
        <color rgb="FF1B1714"/>
        <rFont val="WenQuanYi Zen Hei"/>
        <family val="2"/>
      </rPr>
      <t xml:space="preserve">라인 </t>
    </r>
    <r>
      <rPr>
        <b val="true"/>
        <sz val="14"/>
        <color rgb="FF1B1714"/>
        <rFont val="Arial"/>
        <family val="0"/>
        <charset val="1"/>
      </rPr>
      <t xml:space="preserve">+ </t>
    </r>
    <r>
      <rPr>
        <b val="true"/>
        <sz val="14"/>
        <color rgb="FF1B1714"/>
        <rFont val="WenQuanYi Zen Hei"/>
        <family val="2"/>
      </rPr>
      <t xml:space="preserve">파우치 </t>
    </r>
    <r>
      <rPr>
        <b val="true"/>
        <sz val="14"/>
        <color rgb="FF1B1714"/>
        <rFont val="Arial"/>
        <family val="0"/>
        <charset val="1"/>
      </rPr>
      <t xml:space="preserve">1</t>
    </r>
    <r>
      <rPr>
        <b val="true"/>
        <sz val="14"/>
        <color rgb="FF1B1714"/>
        <rFont val="WenQuanYi Zen Hei"/>
        <family val="2"/>
      </rPr>
      <t xml:space="preserve">라인</t>
    </r>
    <r>
      <rPr>
        <b val="true"/>
        <sz val="14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</si>
  <si>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</rPr>
      <t xml:space="preserve">폼팩터별 매출 분리 </t>
    </r>
    <r>
      <rPr>
        <sz val="9"/>
        <color rgb="FF8C8473"/>
        <rFont val="Arial"/>
        <family val="0"/>
        <charset val="1"/>
      </rPr>
      <t xml:space="preserve">· </t>
    </r>
    <r>
      <rPr>
        <sz val="9"/>
        <color rgb="FF8C8473"/>
        <rFont val="WenQuanYi Zen Hei"/>
        <family val="2"/>
      </rPr>
      <t xml:space="preserve">각형 </t>
    </r>
    <r>
      <rPr>
        <sz val="9"/>
        <color rgb="FF8C8473"/>
        <rFont val="Arial"/>
        <family val="0"/>
        <charset val="1"/>
      </rPr>
      <t xml:space="preserve">13.5×2 + </t>
    </r>
    <r>
      <rPr>
        <sz val="9"/>
        <color rgb="FF8C8473"/>
        <rFont val="WenQuanYi Zen Hei"/>
        <family val="2"/>
      </rPr>
      <t xml:space="preserve">파우치 </t>
    </r>
    <r>
      <rPr>
        <sz val="9"/>
        <color rgb="FF8C8473"/>
        <rFont val="Arial"/>
        <family val="0"/>
        <charset val="1"/>
      </rPr>
      <t xml:space="preserve">2.7 = 29.7GWh · COD '28</t>
    </r>
  </si>
  <si>
    <t xml:space="preserve">REVENUE — by formfactor</t>
  </si>
  <si>
    <r>
      <rPr>
        <sz val="10"/>
        <color rgb="FF000000"/>
        <rFont val="WenQuanYi Zen Hei"/>
        <family val="2"/>
      </rPr>
      <t xml:space="preserve">각형 </t>
    </r>
    <r>
      <rPr>
        <sz val="10"/>
        <color rgb="FF000000"/>
        <rFont val="Arial"/>
        <family val="0"/>
        <charset val="1"/>
      </rPr>
      <t xml:space="preserve">revenue</t>
    </r>
  </si>
  <si>
    <r>
      <rPr>
        <sz val="10"/>
        <color rgb="FF000000"/>
        <rFont val="WenQuanYi Zen Hei"/>
        <family val="2"/>
      </rPr>
      <t xml:space="preserve">파우치 </t>
    </r>
    <r>
      <rPr>
        <sz val="10"/>
        <color rgb="FF000000"/>
        <rFont val="Arial"/>
        <family val="0"/>
        <charset val="1"/>
      </rPr>
      <t xml:space="preserve">revenue</t>
    </r>
  </si>
  <si>
    <t xml:space="preserve">Revenue (total)</t>
  </si>
  <si>
    <t xml:space="preserve">Cash COGS (by formfactor)</t>
  </si>
  <si>
    <t xml:space="preserve">CONSOLIDATED — SKBA + SKOT → FCFF → DCF</t>
  </si>
  <si>
    <r>
      <rPr>
        <sz val="9"/>
        <color rgb="FF8C8473"/>
        <rFont val="WenQuanYi Zen Hei"/>
        <family val="2"/>
      </rPr>
      <t xml:space="preserve">라인 단위 합산 </t>
    </r>
    <r>
      <rPr>
        <sz val="9"/>
        <color rgb="FF8C8473"/>
        <rFont val="Arial"/>
        <family val="0"/>
        <charset val="1"/>
      </rPr>
      <t xml:space="preserve">· $mm · FCFF unlevered · AMPC </t>
    </r>
    <r>
      <rPr>
        <sz val="9"/>
        <color rgb="FF8C8473"/>
        <rFont val="WenQuanYi Zen Hei"/>
        <family val="2"/>
      </rPr>
      <t xml:space="preserve">옵션</t>
    </r>
    <r>
      <rPr>
        <sz val="9"/>
        <color rgb="FF8C8473"/>
        <rFont val="Arial"/>
        <family val="0"/>
        <charset val="1"/>
      </rPr>
      <t xml:space="preserve">A · SKOT placeholder </t>
    </r>
    <r>
      <rPr>
        <sz val="9"/>
        <color rgb="FF8C8473"/>
        <rFont val="WenQuanYi Zen Hei"/>
        <family val="2"/>
      </rPr>
      <t xml:space="preserve">입력 시 합산</t>
    </r>
  </si>
  <si>
    <t xml:space="preserve">REVENUE — by plant</t>
  </si>
  <si>
    <r>
      <rPr>
        <sz val="10"/>
        <color rgb="FF000000"/>
        <rFont val="Arial"/>
        <family val="0"/>
        <charset val="1"/>
      </rPr>
      <t xml:space="preserve">SKBA revenue (</t>
    </r>
    <r>
      <rPr>
        <sz val="10"/>
        <color rgb="FF000000"/>
        <rFont val="WenQuanYi Zen Hei"/>
        <family val="2"/>
      </rPr>
      <t xml:space="preserve">파우치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</si>
  <si>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revenue (</t>
    </r>
    <r>
      <rPr>
        <sz val="10"/>
        <color rgb="FF000000"/>
        <rFont val="WenQuanYi Zen Hei"/>
        <family val="2"/>
      </rPr>
      <t xml:space="preserve">각형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파우치</t>
    </r>
    <r>
      <rPr>
        <sz val="10"/>
        <color rgb="FF000000"/>
        <rFont val="Arial"/>
        <family val="0"/>
        <charset val="1"/>
      </rPr>
      <t xml:space="preserve">)</t>
    </r>
  </si>
  <si>
    <t xml:space="preserve">Total revenue</t>
  </si>
  <si>
    <t xml:space="preserve">  Total shipped (GWh)</t>
  </si>
  <si>
    <t xml:space="preserve">EBIT</t>
  </si>
  <si>
    <t xml:space="preserve">EBIT pre-AMPC</t>
  </si>
  <si>
    <t xml:space="preserve">EBIT incl. AMPC</t>
  </si>
  <si>
    <t xml:space="preserve">  margin incl. AMPC</t>
  </si>
  <si>
    <t xml:space="preserve">EBITDA incl. AMPC</t>
  </si>
  <si>
    <t xml:space="preserve">  EBITDA margin</t>
  </si>
  <si>
    <r>
      <rPr>
        <b val="true"/>
        <sz val="10"/>
        <color rgb="FF1B1714"/>
        <rFont val="Arial"/>
        <family val="0"/>
        <charset val="1"/>
      </rPr>
      <t xml:space="preserve">EBITDA ex-AMPC (</t>
    </r>
    <r>
      <rPr>
        <b val="true"/>
        <sz val="10"/>
        <color rgb="FF1B1714"/>
        <rFont val="WenQuanYi Zen Hei"/>
        <family val="2"/>
      </rPr>
      <t xml:space="preserve">멀티플용</t>
    </r>
    <r>
      <rPr>
        <b val="true"/>
        <sz val="10"/>
        <color rgb="FF1B1714"/>
        <rFont val="Arial"/>
        <family val="0"/>
        <charset val="1"/>
      </rPr>
      <t xml:space="preserve">)</t>
    </r>
  </si>
  <si>
    <t xml:space="preserve">  EBITDA ex-AMPC margin</t>
  </si>
  <si>
    <t xml:space="preserve">SKBA FCFF</t>
  </si>
  <si>
    <t xml:space="preserve">SKOT FCFF</t>
  </si>
  <si>
    <t xml:space="preserve">Consolidated FCFF</t>
  </si>
  <si>
    <r>
      <rPr>
        <b val="true"/>
        <sz val="10"/>
        <color rgb="FFFFFFFF"/>
        <rFont val="Arial"/>
        <family val="0"/>
        <charset val="1"/>
      </rPr>
      <t xml:space="preserve">FCFE — </t>
    </r>
    <r>
      <rPr>
        <b val="true"/>
        <sz val="10"/>
        <color rgb="FFFFFFFF"/>
        <rFont val="WenQuanYi Zen Hei"/>
        <family val="2"/>
      </rPr>
      <t xml:space="preserve">공장별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하이브리드</t>
    </r>
    <r>
      <rPr>
        <b val="true"/>
        <sz val="10"/>
        <color rgb="FFFFFFFF"/>
        <rFont val="Arial"/>
        <family val="0"/>
        <charset val="1"/>
      </rPr>
      <t xml:space="preserve">: HoldCo </t>
    </r>
    <r>
      <rPr>
        <b val="true"/>
        <sz val="10"/>
        <color rgb="FFFFFFFF"/>
        <rFont val="WenQuanYi Zen Hei"/>
        <family val="2"/>
      </rPr>
      <t xml:space="preserve">우산 </t>
    </r>
    <r>
      <rPr>
        <b val="true"/>
        <sz val="10"/>
        <color rgb="FFFFFFFF"/>
        <rFont val="Arial"/>
        <family val="0"/>
        <charset val="1"/>
      </rPr>
      <t xml:space="preserve">+ ring-fence)</t>
    </r>
  </si>
  <si>
    <r>
      <rPr>
        <sz val="10"/>
        <color rgb="FF000000"/>
        <rFont val="Arial"/>
        <family val="0"/>
        <charset val="1"/>
      </rPr>
      <t xml:space="preserve">SKBA · </t>
    </r>
    <r>
      <rPr>
        <sz val="10"/>
        <color rgb="FF000000"/>
        <rFont val="WenQuanYi Zen Hei"/>
        <family val="2"/>
      </rPr>
      <t xml:space="preserve">이자비용 </t>
    </r>
    <r>
      <rPr>
        <sz val="10"/>
        <color rgb="FF000000"/>
        <rFont val="Arial"/>
        <family val="0"/>
        <charset val="1"/>
      </rPr>
      <t xml:space="preserve">(project debt)</t>
    </r>
  </si>
  <si>
    <r>
      <rPr>
        <sz val="10"/>
        <color rgb="FF000000"/>
        <rFont val="Arial"/>
        <family val="0"/>
        <charset val="1"/>
      </rPr>
      <t xml:space="preserve">SKBA · </t>
    </r>
    <r>
      <rPr>
        <sz val="10"/>
        <color rgb="FF000000"/>
        <rFont val="WenQuanYi Zen Hei"/>
        <family val="2"/>
      </rPr>
      <t xml:space="preserve">이자 </t>
    </r>
    <r>
      <rPr>
        <sz val="10"/>
        <color rgb="FF000000"/>
        <rFont val="Arial"/>
        <family val="0"/>
        <charset val="1"/>
      </rPr>
      <t xml:space="preserve">tax shield</t>
    </r>
  </si>
  <si>
    <r>
      <rPr>
        <sz val="10"/>
        <color rgb="FF000000"/>
        <rFont val="Arial"/>
        <family val="0"/>
        <charset val="1"/>
      </rPr>
      <t xml:space="preserve">SKBA · HoldCo </t>
    </r>
    <r>
      <rPr>
        <sz val="10"/>
        <color rgb="FF000000"/>
        <rFont val="WenQuanYi Zen Hei"/>
        <family val="2"/>
      </rPr>
      <t xml:space="preserve">크레딧비용 배분</t>
    </r>
  </si>
  <si>
    <t xml:space="preserve">SKBA FCFE</t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</si>
  <si>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</rPr>
      <t xml:space="preserve">이자 </t>
    </r>
    <r>
      <rPr>
        <sz val="10"/>
        <color rgb="FF000000"/>
        <rFont val="Arial"/>
        <family val="0"/>
        <charset val="1"/>
      </rPr>
      <t xml:space="preserve">(3.5%)</t>
    </r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</si>
  <si>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</rPr>
      <t xml:space="preserve">이자 </t>
    </r>
    <r>
      <rPr>
        <sz val="10"/>
        <color rgb="FF000000"/>
        <rFont val="Arial"/>
        <family val="0"/>
        <charset val="1"/>
      </rPr>
      <t xml:space="preserve">tax shield</t>
    </r>
  </si>
  <si>
    <t xml:space="preserve">메자닌 연상환액</t>
  </si>
  <si>
    <t xml:space="preserve">메자닌 기초잔액</t>
  </si>
  <si>
    <r>
      <rPr>
        <sz val="10"/>
        <color rgb="FF000000"/>
        <rFont val="WenQuanYi Zen Hei"/>
        <family val="2"/>
      </rPr>
      <t xml:space="preserve">메자닌 원금상환 </t>
    </r>
    <r>
      <rPr>
        <sz val="10"/>
        <color rgb="FF000000"/>
        <rFont val="Arial"/>
        <family val="0"/>
        <charset val="1"/>
      </rPr>
      <t xml:space="preserve">(amort, AMPC</t>
    </r>
    <r>
      <rPr>
        <sz val="10"/>
        <color rgb="FF000000"/>
        <rFont val="WenQuanYi Zen Hei"/>
        <family val="2"/>
      </rPr>
      <t xml:space="preserve">재원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</si>
  <si>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배당 </t>
    </r>
    <r>
      <rPr>
        <sz val="10"/>
        <color rgb="FF000000"/>
        <rFont val="Arial"/>
        <family val="0"/>
        <charset val="1"/>
      </rPr>
      <t xml:space="preserve">(7%, </t>
    </r>
    <r>
      <rPr>
        <sz val="10"/>
        <color rgb="FF000000"/>
        <rFont val="WenQuanYi Zen Hei"/>
        <family val="2"/>
      </rPr>
      <t xml:space="preserve">잔액기준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</si>
  <si>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HoldCo </t>
    </r>
    <r>
      <rPr>
        <sz val="10"/>
        <color rgb="FF000000"/>
        <rFont val="WenQuanYi Zen Hei"/>
        <family val="2"/>
      </rPr>
      <t xml:space="preserve">크레딧비용 배분</t>
    </r>
  </si>
  <si>
    <r>
      <rPr>
        <b val="true"/>
        <sz val="10"/>
        <color rgb="FF1B1714"/>
        <rFont val="Arial"/>
        <family val="0"/>
        <charset val="1"/>
      </rPr>
      <t xml:space="preserve">SKOT FCFE (</t>
    </r>
    <r>
      <rPr>
        <b val="true"/>
        <sz val="10"/>
        <color rgb="FF1B1714"/>
        <rFont val="WenQuanYi Zen Hei"/>
        <family val="2"/>
      </rPr>
      <t xml:space="preserve">보통주 귀속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</si>
  <si>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OT CFADS (EBITDA-</t>
    </r>
    <r>
      <rPr>
        <sz val="10"/>
        <color rgb="FF000000"/>
        <rFont val="WenQuanYi Zen Hei"/>
        <family val="2"/>
      </rPr>
      <t xml:space="preserve">유지</t>
    </r>
    <r>
      <rPr>
        <sz val="10"/>
        <color rgb="FF000000"/>
        <rFont val="Arial"/>
        <family val="0"/>
        <charset val="1"/>
      </rPr>
      <t xml:space="preserve">capex)</t>
    </r>
  </si>
  <si>
    <r>
      <rPr>
        <sz val="10"/>
        <color rgb="FF000000"/>
        <rFont val="WenQuanYi Zen Hei"/>
        <family val="2"/>
      </rPr>
      <t xml:space="preserve">  부채상환액 </t>
    </r>
    <r>
      <rPr>
        <sz val="10"/>
        <color rgb="FF000000"/>
        <rFont val="Arial"/>
        <family val="0"/>
        <charset val="1"/>
      </rPr>
      <t xml:space="preserve">(DOE</t>
    </r>
    <r>
      <rPr>
        <sz val="10"/>
        <color rgb="FF000000"/>
        <rFont val="WenQuanYi Zen Hei"/>
        <family val="2"/>
      </rPr>
      <t xml:space="preserve">이자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메자닌 원리금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</si>
  <si>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DSCR (CFADS÷</t>
    </r>
    <r>
      <rPr>
        <sz val="10"/>
        <color rgb="FF000000"/>
        <rFont val="WenQuanYi Zen Hei"/>
        <family val="2"/>
      </rPr>
      <t xml:space="preserve">상환액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</si>
  <si>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</rPr>
      <t xml:space="preserve">보통주</t>
    </r>
    <r>
      <rPr>
        <b val="true"/>
        <sz val="10"/>
        <color rgb="FF1B1714"/>
        <rFont val="Arial"/>
        <family val="0"/>
        <charset val="1"/>
      </rPr>
      <t xml:space="preserve">(SK) FCFE </t>
    </r>
    <r>
      <rPr>
        <b val="true"/>
        <sz val="10"/>
        <color rgb="FF1B1714"/>
        <rFont val="WenQuanYi Zen Hei"/>
        <family val="2"/>
      </rPr>
      <t xml:space="preserve">합계</t>
    </r>
  </si>
  <si>
    <r>
      <rPr>
        <sz val="10"/>
        <color rgb="FF000000"/>
        <rFont val="Arial"/>
        <family val="0"/>
        <charset val="1"/>
      </rPr>
      <t xml:space="preserve">FCFE </t>
    </r>
    <r>
      <rPr>
        <sz val="10"/>
        <color rgb="FF000000"/>
        <rFont val="WenQuanYi Zen Hei"/>
        <family val="2"/>
      </rPr>
      <t xml:space="preserve">할인계수 </t>
    </r>
    <r>
      <rPr>
        <sz val="10"/>
        <color rgb="FF000000"/>
        <rFont val="Arial"/>
        <family val="0"/>
        <charset val="1"/>
      </rPr>
      <t xml:space="preserve">(Ke)</t>
    </r>
  </si>
  <si>
    <t xml:space="preserve">PV of FCFE</t>
  </si>
  <si>
    <r>
      <rPr>
        <i val="true"/>
        <sz val="8"/>
        <color rgb="FF8C8473"/>
        <rFont val="WenQuanYi Zen Hei"/>
        <family val="2"/>
      </rPr>
      <t xml:space="preserve">※ 메자닌 제거</t>
    </r>
    <r>
      <rPr>
        <i val="true"/>
        <sz val="8"/>
        <color rgb="FF8C8473"/>
        <rFont val="Arial"/>
        <family val="0"/>
        <charset val="1"/>
      </rPr>
      <t xml:space="preserve">: OT </t>
    </r>
    <r>
      <rPr>
        <i val="true"/>
        <sz val="8"/>
        <color rgb="FF8C8473"/>
        <rFont val="WenQuanYi Zen Hei"/>
        <family val="2"/>
      </rPr>
      <t xml:space="preserve">소요 </t>
    </r>
    <r>
      <rPr>
        <i val="true"/>
        <sz val="8"/>
        <color rgb="FF8C8473"/>
        <rFont val="Arial"/>
        <family val="0"/>
        <charset val="1"/>
      </rPr>
      <t xml:space="preserve">$1bn</t>
    </r>
    <r>
      <rPr>
        <i val="true"/>
        <sz val="8"/>
        <color rgb="FF8C8473"/>
        <rFont val="WenQuanYi Zen Hei"/>
        <family val="2"/>
      </rPr>
      <t xml:space="preserve">은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(equity-down)</t>
    </r>
    <r>
      <rPr>
        <i val="true"/>
        <sz val="8"/>
        <color rgb="FF8C8473"/>
        <rFont val="WenQuanYi Zen Hei"/>
        <family val="2"/>
      </rPr>
      <t xml:space="preserve">로 조달 → </t>
    </r>
    <r>
      <rPr>
        <i val="true"/>
        <sz val="8"/>
        <color rgb="FF8C8473"/>
        <rFont val="Arial"/>
        <family val="0"/>
        <charset val="1"/>
      </rPr>
      <t xml:space="preserve">OT </t>
    </r>
    <r>
      <rPr>
        <i val="true"/>
        <sz val="8"/>
        <color rgb="FF8C8473"/>
        <rFont val="WenQuanYi Zen Hei"/>
        <family val="2"/>
      </rPr>
      <t xml:space="preserve">신규부채</t>
    </r>
    <r>
      <rPr>
        <i val="true"/>
        <sz val="8"/>
        <color rgb="FF8C8473"/>
        <rFont val="Arial"/>
        <family val="0"/>
        <charset val="1"/>
      </rPr>
      <t xml:space="preserve">·DSCR </t>
    </r>
    <r>
      <rPr>
        <i val="true"/>
        <sz val="8"/>
        <color rgb="FF8C8473"/>
        <rFont val="WenQuanYi Zen Hei"/>
        <family val="2"/>
      </rPr>
      <t xml:space="preserve">불요</t>
    </r>
    <r>
      <rPr>
        <i val="true"/>
        <sz val="8"/>
        <color rgb="FF8C8473"/>
        <rFont val="Arial"/>
        <family val="0"/>
        <charset val="1"/>
      </rPr>
      <t xml:space="preserve">. </t>
    </r>
    <r>
      <rPr>
        <i val="true"/>
        <sz val="8"/>
        <color rgb="FF8C8473"/>
        <rFont val="WenQuanYi Zen Hei"/>
        <family val="2"/>
      </rPr>
      <t xml:space="preserve">수익률은 보통주 </t>
    </r>
    <r>
      <rPr>
        <i val="true"/>
        <sz val="8"/>
        <color rgb="FF8C8473"/>
        <rFont val="Arial"/>
        <family val="0"/>
        <charset val="1"/>
      </rPr>
      <t xml:space="preserve">FCFE(Ke)</t>
    </r>
    <r>
      <rPr>
        <i val="true"/>
        <sz val="8"/>
        <color rgb="FF8C8473"/>
        <rFont val="WenQuanYi Zen Hei"/>
        <family val="2"/>
      </rPr>
      <t xml:space="preserve">로 평가</t>
    </r>
    <r>
      <rPr>
        <i val="true"/>
        <sz val="8"/>
        <color rgb="FF8C8473"/>
        <rFont val="Arial"/>
        <family val="0"/>
        <charset val="1"/>
      </rPr>
      <t xml:space="preserve">. DOE </t>
    </r>
    <r>
      <rPr>
        <i val="true"/>
        <sz val="8"/>
        <color rgb="FF8C8473"/>
        <rFont val="WenQuanYi Zen Hei"/>
        <family val="2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각 </t>
    </r>
    <r>
      <rPr>
        <i val="true"/>
        <sz val="8"/>
        <color rgb="FF8C8473"/>
        <rFont val="Arial"/>
        <family val="0"/>
        <charset val="1"/>
      </rPr>
      <t xml:space="preserve">SPV non-recourse.</t>
    </r>
  </si>
  <si>
    <t xml:space="preserve">DCF VALUATION</t>
  </si>
  <si>
    <t xml:space="preserve">Discount period (mid-yr)</t>
  </si>
  <si>
    <t xml:space="preserve">Discount factor</t>
  </si>
  <si>
    <t xml:space="preserve">PV of FCFF</t>
  </si>
  <si>
    <t xml:space="preserve">VALUATION SUMMARY ($mm)</t>
  </si>
  <si>
    <t xml:space="preserve">Sum PV explicit FCFF (2026–35)</t>
  </si>
  <si>
    <t xml:space="preserve">Terminal value (Gordon, undisc.)</t>
  </si>
  <si>
    <t xml:space="preserve">PV of terminal value</t>
  </si>
  <si>
    <t xml:space="preserve">Enterprise Value (EV)</t>
  </si>
  <si>
    <t xml:space="preserve">Less: net debt (DOE loan)</t>
  </si>
  <si>
    <t xml:space="preserve">Equity Value (DCF)</t>
  </si>
  <si>
    <t xml:space="preserve">% TV of EV</t>
  </si>
  <si>
    <r>
      <rPr>
        <b val="true"/>
        <sz val="11"/>
        <color rgb="FFFFFFFF"/>
        <rFont val="Arial"/>
        <family val="0"/>
        <charset val="1"/>
      </rPr>
      <t xml:space="preserve">EQUITY VALUE — FCFE </t>
    </r>
    <r>
      <rPr>
        <b val="true"/>
        <sz val="11"/>
        <color rgb="FFFFFFFF"/>
        <rFont val="WenQuanYi Zen Hei"/>
        <family val="2"/>
      </rPr>
      <t xml:space="preserve">직접법 </t>
    </r>
    <r>
      <rPr>
        <b val="true"/>
        <sz val="11"/>
        <color rgb="FFFFFFFF"/>
        <rFont val="Arial"/>
        <family val="0"/>
        <charset val="1"/>
      </rPr>
      <t xml:space="preserve">($mm)</t>
    </r>
  </si>
  <si>
    <t xml:space="preserve">Sum PV explicit FCFE (2026–35)</t>
  </si>
  <si>
    <t xml:space="preserve">FCFE Terminal value (Gordon)</t>
  </si>
  <si>
    <t xml:space="preserve">PV of FCFE terminal value</t>
  </si>
  <si>
    <r>
      <rPr>
        <b val="true"/>
        <sz val="11"/>
        <color rgb="FF1B1714"/>
        <rFont val="Arial"/>
        <family val="0"/>
        <charset val="1"/>
      </rPr>
      <t xml:space="preserve">Equity Value (FCFE </t>
    </r>
    <r>
      <rPr>
        <b val="true"/>
        <sz val="11"/>
        <color rgb="FF1B1714"/>
        <rFont val="WenQuanYi Zen Hei"/>
        <family val="2"/>
      </rPr>
      <t xml:space="preserve">직접법</t>
    </r>
    <r>
      <rPr>
        <b val="true"/>
        <sz val="11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</si>
  <si>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Arial"/>
        <family val="0"/>
        <charset val="1"/>
      </rPr>
      <t xml:space="preserve">vs. Equity Value (DCF: EV−</t>
    </r>
    <r>
      <rPr>
        <sz val="9"/>
        <color rgb="FF8C8473"/>
        <rFont val="WenQuanYi Zen Hei"/>
        <family val="2"/>
      </rPr>
      <t xml:space="preserve">순차입금</t>
    </r>
    <r>
      <rPr>
        <sz val="9"/>
        <color rgb="FF8C8473"/>
        <rFont val="Arial"/>
        <family val="0"/>
        <charset val="1"/>
      </rPr>
      <t xml:space="preserve">)</t>
    </r>
  </si>
  <si>
    <r>
      <rPr>
        <i val="true"/>
        <sz val="8"/>
        <color rgb="FFC1121F"/>
        <rFont val="Arial"/>
        <family val="0"/>
        <charset val="1"/>
      </rPr>
      <t xml:space="preserve">※ FCFE</t>
    </r>
    <r>
      <rPr>
        <i val="true"/>
        <sz val="8"/>
        <color rgb="FFC1121F"/>
        <rFont val="WenQuanYi Zen Hei"/>
        <family val="2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Ke</t>
    </r>
    <r>
      <rPr>
        <i val="true"/>
        <sz val="8"/>
        <color rgb="FFC1121F"/>
        <rFont val="WenQuanYi Zen Hei"/>
        <family val="2"/>
      </rPr>
      <t xml:space="preserve">로 할인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</rPr>
      <t xml:space="preserve">레버리지 직접 반영</t>
    </r>
    <r>
      <rPr>
        <i val="true"/>
        <sz val="8"/>
        <color rgb="FFC1121F"/>
        <rFont val="Arial"/>
        <family val="0"/>
        <charset val="1"/>
      </rPr>
      <t xml:space="preserve">) / DCF</t>
    </r>
    <r>
      <rPr>
        <i val="true"/>
        <sz val="8"/>
        <color rgb="FFC1121F"/>
        <rFont val="WenQuanYi Zen Hei"/>
        <family val="2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FCFF</t>
    </r>
    <r>
      <rPr>
        <i val="true"/>
        <sz val="8"/>
        <color rgb="FFC1121F"/>
        <rFont val="WenQuanYi Zen Hei"/>
        <family val="2"/>
      </rPr>
      <t xml:space="preserve">를 </t>
    </r>
    <r>
      <rPr>
        <i val="true"/>
        <sz val="8"/>
        <color rgb="FFC1121F"/>
        <rFont val="Arial"/>
        <family val="0"/>
        <charset val="1"/>
      </rPr>
      <t xml:space="preserve">WACC</t>
    </r>
    <r>
      <rPr>
        <i val="true"/>
        <sz val="8"/>
        <color rgb="FFC1121F"/>
        <rFont val="WenQuanYi Zen Hei"/>
        <family val="2"/>
      </rPr>
      <t xml:space="preserve">로 할인 후 순차입금 차감</t>
    </r>
    <r>
      <rPr>
        <i val="true"/>
        <sz val="8"/>
        <color rgb="FFC1121F"/>
        <rFont val="Arial"/>
        <family val="0"/>
        <charset val="1"/>
      </rPr>
      <t xml:space="preserve">. </t>
    </r>
    <r>
      <rPr>
        <i val="true"/>
        <sz val="8"/>
        <color rgb="FFC1121F"/>
        <rFont val="WenQuanYi Zen Hei"/>
        <family val="2"/>
      </rPr>
      <t xml:space="preserve">두 경로의 주주가치 교차검증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</si>
  <si>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SOTP </t>
    </r>
    <r>
      <rPr>
        <b val="true"/>
        <sz val="10"/>
        <color rgb="FFFFFFFF"/>
        <rFont val="WenQuanYi Zen Hei"/>
        <family val="2"/>
      </rPr>
      <t xml:space="preserve">교차검증 — 순자산 </t>
    </r>
    <r>
      <rPr>
        <b val="true"/>
        <sz val="10"/>
        <color rgb="FFFFFFFF"/>
        <rFont val="Arial"/>
        <family val="0"/>
        <charset val="1"/>
      </rPr>
      <t xml:space="preserve">NAV vs </t>
    </r>
    <r>
      <rPr>
        <b val="true"/>
        <sz val="10"/>
        <color rgb="FFFFFFFF"/>
        <rFont val="WenQuanYi Zen Hei"/>
        <family val="2"/>
      </rPr>
      <t xml:space="preserve">지분가치 </t>
    </r>
    <r>
      <rPr>
        <b val="true"/>
        <sz val="10"/>
        <color rgb="FFFFFFFF"/>
        <rFont val="Arial"/>
        <family val="0"/>
        <charset val="1"/>
      </rPr>
      <t xml:space="preserve">($mm)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</si>
  <si>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(DART, </t>
    </r>
    <r>
      <rPr>
        <sz val="10"/>
        <color rgb="FF000000"/>
        <rFont val="WenQuanYi Zen Hei"/>
        <family val="2"/>
      </rPr>
      <t xml:space="preserve">부채차감後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</si>
  <si>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분할 </t>
    </r>
    <r>
      <rPr>
        <sz val="10"/>
        <color rgb="FF000000"/>
        <rFont val="Arial"/>
        <family val="0"/>
        <charset val="1"/>
      </rPr>
      <t xml:space="preserve">PPA, DOE</t>
    </r>
    <r>
      <rPr>
        <sz val="10"/>
        <color rgb="FF000000"/>
        <rFont val="WenQuanYi Zen Hei"/>
        <family val="2"/>
      </rPr>
      <t xml:space="preserve">차감後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</si>
  <si>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</rPr>
      <t xml:space="preserve">합산 </t>
    </r>
    <r>
      <rPr>
        <b val="true"/>
        <sz val="10"/>
        <color rgb="FF1B1714"/>
        <rFont val="Arial"/>
        <family val="0"/>
        <charset val="1"/>
      </rPr>
      <t xml:space="preserve">NAV = SOTP </t>
    </r>
    <r>
      <rPr>
        <b val="true"/>
        <sz val="10"/>
        <color rgb="FF1B1714"/>
        <rFont val="WenQuanYi Zen Hei"/>
        <family val="2"/>
      </rPr>
      <t xml:space="preserve">지분가치</t>
    </r>
  </si>
  <si>
    <t xml:space="preserve">vs. DCF Equity Value</t>
  </si>
  <si>
    <r>
      <rPr>
        <sz val="9"/>
        <color rgb="FF8C8473"/>
        <rFont val="WenQuanYi Zen Hei"/>
        <family val="2"/>
      </rPr>
      <t xml:space="preserve">  괴리 </t>
    </r>
    <r>
      <rPr>
        <sz val="9"/>
        <color rgb="FF8C8473"/>
        <rFont val="Arial"/>
        <family val="0"/>
        <charset val="1"/>
      </rPr>
      <t xml:space="preserve">(NAV − DCF Equity)</t>
    </r>
  </si>
  <si>
    <r>
      <rPr>
        <i val="true"/>
        <sz val="8"/>
        <color rgb="FFC1121F"/>
        <rFont val="Arial"/>
        <family val="0"/>
        <charset val="1"/>
      </rPr>
      <t xml:space="preserve">※ NAV</t>
    </r>
    <r>
      <rPr>
        <i val="true"/>
        <sz val="8"/>
        <color rgb="FFC1121F"/>
        <rFont val="WenQuanYi Zen Hei"/>
        <family val="2"/>
      </rPr>
      <t xml:space="preserve">는 순자산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</rPr>
      <t xml:space="preserve">자본총계</t>
    </r>
    <r>
      <rPr>
        <i val="true"/>
        <sz val="8"/>
        <color rgb="FFC1121F"/>
        <rFont val="Arial"/>
        <family val="0"/>
        <charset val="1"/>
      </rPr>
      <t xml:space="preserve">)</t>
    </r>
    <r>
      <rPr>
        <i val="true"/>
        <sz val="8"/>
        <color rgb="FFC1121F"/>
        <rFont val="WenQuanYi Zen Hei"/>
        <family val="2"/>
      </rPr>
      <t xml:space="preserve">이라 부채 이미 차감 → 순차입금 재차감 不可</t>
    </r>
    <r>
      <rPr>
        <i val="true"/>
        <sz val="8"/>
        <color rgb="FFC1121F"/>
        <rFont val="Arial"/>
        <family val="0"/>
        <charset val="1"/>
      </rPr>
      <t xml:space="preserve">. DCF</t>
    </r>
    <r>
      <rPr>
        <i val="true"/>
        <sz val="8"/>
        <color rgb="FFC1121F"/>
        <rFont val="WenQuanYi Zen Hei"/>
        <family val="2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EV</t>
    </r>
    <r>
      <rPr>
        <i val="true"/>
        <sz val="8"/>
        <color rgb="FFC1121F"/>
        <rFont val="WenQuanYi Zen Hei"/>
        <family val="2"/>
      </rPr>
      <t xml:space="preserve">에서만 순차입금 </t>
    </r>
    <r>
      <rPr>
        <i val="true"/>
        <sz val="8"/>
        <color rgb="FFC1121F"/>
        <rFont val="Arial"/>
        <family val="0"/>
        <charset val="1"/>
      </rPr>
      <t xml:space="preserve">1</t>
    </r>
    <r>
      <rPr>
        <i val="true"/>
        <sz val="8"/>
        <color rgb="FFC1121F"/>
        <rFont val="WenQuanYi Zen Hei"/>
        <family val="2"/>
      </rPr>
      <t xml:space="preserve">회 차감</t>
    </r>
    <r>
      <rPr>
        <i val="true"/>
        <sz val="8"/>
        <color rgb="FFC1121F"/>
        <rFont val="Arial"/>
        <family val="0"/>
        <charset val="1"/>
      </rPr>
      <t xml:space="preserve">. </t>
    </r>
    <r>
      <rPr>
        <i val="true"/>
        <sz val="8"/>
        <color rgb="FFC1121F"/>
        <rFont val="WenQuanYi Zen Hei"/>
        <family val="2"/>
      </rPr>
      <t xml:space="preserve">둘 다 </t>
    </r>
    <r>
      <rPr>
        <i val="true"/>
        <sz val="8"/>
        <color rgb="FFC1121F"/>
        <rFont val="Arial"/>
        <family val="0"/>
        <charset val="1"/>
      </rPr>
      <t xml:space="preserve">'</t>
    </r>
    <r>
      <rPr>
        <i val="true"/>
        <sz val="8"/>
        <color rgb="FFC1121F"/>
        <rFont val="WenQuanYi Zen Hei"/>
        <family val="2"/>
      </rPr>
      <t xml:space="preserve">지분가치</t>
    </r>
    <r>
      <rPr>
        <i val="true"/>
        <sz val="8"/>
        <color rgb="FFC1121F"/>
        <rFont val="Arial"/>
        <family val="0"/>
        <charset val="1"/>
      </rPr>
      <t xml:space="preserve">' </t>
    </r>
    <r>
      <rPr>
        <i val="true"/>
        <sz val="8"/>
        <color rgb="FFC1121F"/>
        <rFont val="WenQuanYi Zen Hei"/>
        <family val="2"/>
      </rPr>
      <t xml:space="preserve">기준 동일 비교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</si>
  <si>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i val="true"/>
        <sz val="8"/>
        <color rgb="FF8C8473"/>
        <rFont val="WenQuanYi Zen Hei"/>
        <family val="2"/>
      </rPr>
      <t xml:space="preserve">괴리 의미</t>
    </r>
    <r>
      <rPr>
        <i val="true"/>
        <sz val="8"/>
        <color rgb="FF8C8473"/>
        <rFont val="Arial"/>
        <family val="0"/>
        <charset val="1"/>
      </rPr>
      <t xml:space="preserve">: NAV(</t>
    </r>
    <r>
      <rPr>
        <i val="true"/>
        <sz val="8"/>
        <color rgb="FF8C8473"/>
        <rFont val="WenQuanYi Zen Hei"/>
        <family val="2"/>
      </rPr>
      <t xml:space="preserve">장부 순자산</t>
    </r>
    <r>
      <rPr>
        <i val="true"/>
        <sz val="8"/>
        <color rgb="FF8C8473"/>
        <rFont val="Arial"/>
        <family val="0"/>
        <charset val="1"/>
      </rPr>
      <t xml:space="preserve">) ≫ DCF Equity → </t>
    </r>
    <r>
      <rPr>
        <i val="true"/>
        <sz val="8"/>
        <color rgb="FF8C8473"/>
        <rFont val="WenQuanYi Zen Hei"/>
        <family val="2"/>
      </rPr>
      <t xml:space="preserve">사업 현금흐름이 장부 순자산</t>
    </r>
    <r>
      <rPr>
        <i val="true"/>
        <sz val="8"/>
        <color rgb="FF8C8473"/>
        <rFont val="Arial"/>
        <family val="0"/>
        <charset val="1"/>
      </rPr>
      <t xml:space="preserve">·DOE </t>
    </r>
    <r>
      <rPr>
        <i val="true"/>
        <sz val="8"/>
        <color rgb="FF8C8473"/>
        <rFont val="WenQuanYi Zen Hei"/>
        <family val="2"/>
      </rPr>
      <t xml:space="preserve">부채를 정당화 못함 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자산</t>
    </r>
    <r>
      <rPr>
        <i val="true"/>
        <sz val="8"/>
        <color rgb="FF8C8473"/>
        <rFont val="Arial"/>
        <family val="0"/>
        <charset val="1"/>
      </rPr>
      <t xml:space="preserve">&gt;</t>
    </r>
    <r>
      <rPr>
        <i val="true"/>
        <sz val="8"/>
        <color rgb="FF8C8473"/>
        <rFont val="WenQuanYi Zen Hei"/>
        <family val="2"/>
      </rPr>
      <t xml:space="preserve">수익력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</si>
  <si>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b val="true"/>
        <sz val="10"/>
        <color rgb="FFFFFFFF"/>
        <rFont val="Arial"/>
        <family val="0"/>
        <charset val="1"/>
      </rPr>
      <t xml:space="preserve">EV/EBITDA </t>
    </r>
    <r>
      <rPr>
        <b val="true"/>
        <sz val="10"/>
        <color rgb="FFFFFFFF"/>
        <rFont val="WenQuanYi Zen Hei"/>
        <family val="2"/>
      </rPr>
      <t xml:space="preserve">멀티플 밸류에이션 </t>
    </r>
    <r>
      <rPr>
        <b val="true"/>
        <sz val="10"/>
        <color rgb="FFFFFFFF"/>
        <rFont val="Arial"/>
        <family val="0"/>
        <charset val="1"/>
      </rPr>
      <t xml:space="preserve">(Forward, </t>
    </r>
    <r>
      <rPr>
        <b val="true"/>
        <sz val="10"/>
        <color rgb="FFFFFFFF"/>
        <rFont val="WenQuanYi Zen Hei"/>
        <family val="2"/>
      </rPr>
      <t xml:space="preserve">증권사 추정 기준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</si>
  <si>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Forward EBITDA ex-AMPC (2029E)</t>
  </si>
  <si>
    <r>
      <rPr>
        <sz val="10"/>
        <color rgb="FF000000"/>
        <rFont val="Arial"/>
        <family val="0"/>
        <charset val="1"/>
      </rPr>
      <t xml:space="preserve">Run-rate EBITDA ex-AMPC (2030–32 </t>
    </r>
    <r>
      <rPr>
        <sz val="10"/>
        <color rgb="FF000000"/>
        <rFont val="WenQuanYi Zen Hei"/>
        <family val="2"/>
      </rPr>
      <t xml:space="preserve">평균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</si>
  <si>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9"/>
        <color rgb="FF1B1714"/>
        <rFont val="Arial"/>
        <family val="0"/>
        <charset val="1"/>
      </rPr>
      <t xml:space="preserve">peer forward EV/EBITDA </t>
    </r>
    <r>
      <rPr>
        <b val="true"/>
        <sz val="9"/>
        <color rgb="FF1B1714"/>
        <rFont val="WenQuanYi Zen Hei"/>
        <family val="2"/>
      </rPr>
      <t xml:space="preserve">가정 </t>
    </r>
    <r>
      <rPr>
        <b val="true"/>
        <sz val="9"/>
        <color rgb="FF1B1714"/>
        <rFont val="Arial"/>
        <family val="0"/>
        <charset val="1"/>
      </rPr>
      <t xml:space="preserve">(×)</t>
    </r>
  </si>
  <si>
    <r>
      <rPr>
        <i val="true"/>
        <sz val="8"/>
        <color rgb="FF8C8473"/>
        <rFont val="WenQuanYi Zen Hei"/>
        <family val="2"/>
      </rPr>
      <t xml:space="preserve">보수 </t>
    </r>
    <r>
      <rPr>
        <i val="true"/>
        <sz val="8"/>
        <color rgb="FF8C8473"/>
        <rFont val="Arial"/>
        <family val="0"/>
        <charset val="1"/>
      </rPr>
      <t xml:space="preserve">/ </t>
    </r>
    <r>
      <rPr>
        <i val="true"/>
        <sz val="8"/>
        <color rgb="FF8C8473"/>
        <rFont val="WenQuanYi Zen Hei"/>
        <family val="2"/>
      </rPr>
      <t xml:space="preserve">기준 </t>
    </r>
    <r>
      <rPr>
        <i val="true"/>
        <sz val="8"/>
        <color rgb="FF8C8473"/>
        <rFont val="Arial"/>
        <family val="0"/>
        <charset val="1"/>
      </rPr>
      <t xml:space="preserve">/ </t>
    </r>
    <r>
      <rPr>
        <i val="true"/>
        <sz val="8"/>
        <color rgb="FF8C8473"/>
        <rFont val="WenQuanYi Zen Hei"/>
        <family val="2"/>
      </rPr>
      <t xml:space="preserve">강세</t>
    </r>
  </si>
  <si>
    <r>
      <rPr>
        <b val="true"/>
        <sz val="10"/>
        <color rgb="FF1B1714"/>
        <rFont val="WenQuanYi Zen Hei"/>
        <family val="2"/>
      </rPr>
      <t xml:space="preserve">→ 내재 </t>
    </r>
    <r>
      <rPr>
        <b val="true"/>
        <sz val="10"/>
        <color rgb="FF1B1714"/>
        <rFont val="Arial"/>
        <family val="0"/>
        <charset val="1"/>
      </rPr>
      <t xml:space="preserve">EV (2029E ex-AMPC EBITDA × </t>
    </r>
    <r>
      <rPr>
        <b val="true"/>
        <sz val="10"/>
        <color rgb="FF1B1714"/>
        <rFont val="WenQuanYi Zen Hei"/>
        <family val="2"/>
      </rPr>
      <t xml:space="preserve">배수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</si>
  <si>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</rPr>
      <t xml:space="preserve">→ 내재 </t>
    </r>
    <r>
      <rPr>
        <b val="true"/>
        <sz val="10"/>
        <color rgb="FF1B1714"/>
        <rFont val="Arial"/>
        <family val="0"/>
        <charset val="1"/>
      </rPr>
      <t xml:space="preserve">EV (run-rate ex-AMPC EBITDA × </t>
    </r>
    <r>
      <rPr>
        <b val="true"/>
        <sz val="10"/>
        <color rgb="FF1B1714"/>
        <rFont val="WenQuanYi Zen Hei"/>
        <family val="2"/>
      </rPr>
      <t xml:space="preserve">배수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</si>
  <si>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Arial"/>
        <family val="0"/>
        <charset val="1"/>
      </rPr>
      <t xml:space="preserve">vs. DCF EV (</t>
    </r>
    <r>
      <rPr>
        <sz val="9"/>
        <color rgb="FF8C8473"/>
        <rFont val="WenQuanYi Zen Hei"/>
        <family val="2"/>
      </rPr>
      <t xml:space="preserve">관세하한</t>
    </r>
    <r>
      <rPr>
        <sz val="9"/>
        <color rgb="FF8C8473"/>
        <rFont val="Arial"/>
        <family val="0"/>
        <charset val="1"/>
      </rPr>
      <t xml:space="preserve">)</t>
    </r>
  </si>
  <si>
    <r>
      <rPr>
        <i val="true"/>
        <sz val="8"/>
        <color rgb="FFC1121F"/>
        <rFont val="Arial"/>
        <family val="0"/>
        <charset val="1"/>
      </rPr>
      <t xml:space="preserve">※ EBITDA</t>
    </r>
    <r>
      <rPr>
        <i val="true"/>
        <sz val="8"/>
        <color rgb="FFC1121F"/>
        <rFont val="WenQuanYi Zen Hei"/>
        <family val="2"/>
      </rPr>
      <t xml:space="preserve">에서 </t>
    </r>
    <r>
      <rPr>
        <i val="true"/>
        <sz val="8"/>
        <color rgb="FFC1121F"/>
        <rFont val="Arial"/>
        <family val="0"/>
        <charset val="1"/>
      </rPr>
      <t xml:space="preserve">AMPC </t>
    </r>
    <r>
      <rPr>
        <i val="true"/>
        <sz val="8"/>
        <color rgb="FFC1121F"/>
        <rFont val="WenQuanYi Zen Hei"/>
        <family val="2"/>
      </rPr>
      <t xml:space="preserve">제외</t>
    </r>
    <r>
      <rPr>
        <i val="true"/>
        <sz val="8"/>
        <color rgb="FFC1121F"/>
        <rFont val="Arial"/>
        <family val="0"/>
        <charset val="1"/>
      </rPr>
      <t xml:space="preserve">(2033 </t>
    </r>
    <r>
      <rPr>
        <i val="true"/>
        <sz val="8"/>
        <color rgb="FFC1121F"/>
        <rFont val="WenQuanYi Zen Hei"/>
        <family val="2"/>
      </rPr>
      <t xml:space="preserve">소멸 한시 보조금이라 영구 자본화 부적절</t>
    </r>
    <r>
      <rPr>
        <i val="true"/>
        <sz val="8"/>
        <color rgb="FFC1121F"/>
        <rFont val="Arial"/>
        <family val="0"/>
        <charset val="1"/>
      </rPr>
      <t xml:space="preserve">) · EBIT </t>
    </r>
    <r>
      <rPr>
        <i val="true"/>
        <sz val="8"/>
        <color rgb="FFC1121F"/>
        <rFont val="WenQuanYi Zen Hei"/>
        <family val="2"/>
      </rPr>
      <t xml:space="preserve">마진 </t>
    </r>
    <r>
      <rPr>
        <i val="true"/>
        <sz val="8"/>
        <color rgb="FFC1121F"/>
        <rFont val="Arial"/>
        <family val="0"/>
        <charset val="1"/>
      </rPr>
      <t xml:space="preserve">10% </t>
    </r>
    <r>
      <rPr>
        <i val="true"/>
        <sz val="8"/>
        <color rgb="FFC1121F"/>
        <rFont val="WenQuanYi Zen Hei"/>
        <family val="2"/>
      </rPr>
      <t xml:space="preserve">목표 </t>
    </r>
    <r>
      <rPr>
        <i val="true"/>
        <sz val="8"/>
        <color rgb="FFC1121F"/>
        <rFont val="Arial"/>
        <family val="0"/>
        <charset val="1"/>
      </rPr>
      <t xml:space="preserve">· peer forward 8~14x.</t>
    </r>
  </si>
  <si>
    <r>
      <rPr>
        <i val="true"/>
        <sz val="8"/>
        <color rgb="FF8C8473"/>
        <rFont val="WenQuanYi Zen Hei"/>
        <family val="2"/>
      </rPr>
      <t xml:space="preserve">  단</t>
    </r>
    <r>
      <rPr>
        <i val="true"/>
        <sz val="8"/>
        <color rgb="FF8C8473"/>
        <rFont val="Arial"/>
        <family val="0"/>
        <charset val="1"/>
      </rPr>
      <t xml:space="preserve">, peer(LGES·</t>
    </r>
    <r>
      <rPr>
        <i val="true"/>
        <sz val="8"/>
        <color rgb="FF8C8473"/>
        <rFont val="WenQuanYi Zen Hei"/>
        <family val="2"/>
      </rPr>
      <t xml:space="preserve">삼성</t>
    </r>
    <r>
      <rPr>
        <i val="true"/>
        <sz val="8"/>
        <color rgb="FF8C8473"/>
        <rFont val="Arial"/>
        <family val="0"/>
        <charset val="1"/>
      </rPr>
      <t xml:space="preserve">SDI·Fluence) EBITDA</t>
    </r>
    <r>
      <rPr>
        <i val="true"/>
        <sz val="8"/>
        <color rgb="FF8C8473"/>
        <rFont val="WenQuanYi Zen Hei"/>
        <family val="2"/>
      </rPr>
      <t xml:space="preserve">에도 </t>
    </r>
    <r>
      <rPr>
        <i val="true"/>
        <sz val="8"/>
        <color rgb="FF8C8473"/>
        <rFont val="Arial"/>
        <family val="0"/>
        <charset val="1"/>
      </rPr>
      <t xml:space="preserve">AMPC </t>
    </r>
    <r>
      <rPr>
        <i val="true"/>
        <sz val="8"/>
        <color rgb="FF8C8473"/>
        <rFont val="WenQuanYi Zen Hei"/>
        <family val="2"/>
      </rPr>
      <t xml:space="preserve">포함 → 우리만 </t>
    </r>
    <r>
      <rPr>
        <i val="true"/>
        <sz val="8"/>
        <color rgb="FF8C8473"/>
        <rFont val="Arial"/>
        <family val="0"/>
        <charset val="1"/>
      </rPr>
      <t xml:space="preserve">ex-AMPC</t>
    </r>
    <r>
      <rPr>
        <i val="true"/>
        <sz val="8"/>
        <color rgb="FF8C8473"/>
        <rFont val="WenQuanYi Zen Hei"/>
        <family val="2"/>
      </rPr>
      <t xml:space="preserve">면 보수적 비교</t>
    </r>
    <r>
      <rPr>
        <i val="true"/>
        <sz val="8"/>
        <color rgb="FF8C8473"/>
        <rFont val="Arial"/>
        <family val="0"/>
        <charset val="1"/>
      </rPr>
      <t xml:space="preserve">(apples-to-apples </t>
    </r>
    <r>
      <rPr>
        <i val="true"/>
        <sz val="8"/>
        <color rgb="FF8C8473"/>
        <rFont val="WenQuanYi Zen Hei"/>
        <family val="2"/>
      </rPr>
      <t xml:space="preserve">아님 유의</t>
    </r>
    <r>
      <rPr>
        <i val="true"/>
        <sz val="8"/>
        <color rgb="FF8C8473"/>
        <rFont val="Arial"/>
        <family val="0"/>
        <charset val="1"/>
      </rPr>
      <t xml:space="preserve">).</t>
    </r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</si>
</sst>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;\(0.0%\);\-"/>
    <numFmt numFmtId="166" formatCode="0"/>
    <numFmt numFmtId="167" formatCode="\$#,##0.00;&quot;($&quot;#,##0.00\);\-"/>
    <numFmt numFmtId="168" formatCode="\$#,##0;&quot;($&quot;#,##0\);\-"/>
    <numFmt numFmtId="169" formatCode="#,##0.0;\(#,##0.0\);\-"/>
    <numFmt numFmtId="170" formatCode="0.0"/>
    <numFmt numFmtId="171" formatCode="0.00\x"/>
    <numFmt numFmtId="172" formatCode="0.000"/>
    <numFmt numFmtId="173" formatCode="0\x"/>
  </numFmts>
  <fonts count="5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B1714"/>
      <name val="Arial"/>
      <family val="0"/>
      <charset val="1"/>
    </font>
    <font>
      <sz val="9"/>
      <color rgb="FF8C8473"/>
      <name val="Arial"/>
      <family val="0"/>
      <charset val="1"/>
    </font>
    <font>
      <sz val="9"/>
      <color rgb="FF8C8473"/>
      <name val="WenQuanYi Zen Hei"/>
      <family val="2"/>
    </font>
    <font>
      <i val="true"/>
      <sz val="8.5"/>
      <color rgb="FF8C8473"/>
      <name val="Arial"/>
      <family val="0"/>
      <charset val="1"/>
    </font>
    <font>
      <i val="true"/>
      <sz val="8.5"/>
      <color rgb="FF8C8473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WenQuanYi Zen Hei"/>
      <family val="2"/>
    </font>
    <font>
      <b val="true"/>
      <sz val="11"/>
      <color rgb="FF0000FF"/>
      <name val="Arial"/>
      <family val="0"/>
      <charset val="1"/>
    </font>
    <font>
      <i val="true"/>
      <sz val="8"/>
      <color rgb="FF8C8473"/>
      <name val="WenQuanYi Zen Hei"/>
      <family val="2"/>
    </font>
    <font>
      <i val="true"/>
      <sz val="8"/>
      <color rgb="FF8C847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i val="true"/>
      <sz val="8.5"/>
      <color rgb="FF7A2230"/>
      <name val="WenQuanYi Zen Hei"/>
      <family val="2"/>
    </font>
    <font>
      <b val="true"/>
      <i val="true"/>
      <sz val="8.5"/>
      <color rgb="FF7A2230"/>
      <name val="Arial"/>
      <family val="0"/>
      <charset val="1"/>
    </font>
    <font>
      <b val="true"/>
      <sz val="9"/>
      <color rgb="FF1B1714"/>
      <name val="Arial"/>
      <family val="0"/>
      <charset val="1"/>
    </font>
    <font>
      <b val="true"/>
      <sz val="10"/>
      <color rgb="FF1B1714"/>
      <name val="Arial"/>
      <family val="0"/>
      <charset val="1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b val="true"/>
      <sz val="10"/>
      <color rgb="FF7A2230"/>
      <name val="WenQuanYi Zen Hei"/>
      <family val="2"/>
    </font>
    <font>
      <b val="true"/>
      <sz val="10"/>
      <color rgb="FF7A2230"/>
      <name val="Arial"/>
      <family val="0"/>
      <charset val="1"/>
    </font>
    <font>
      <sz val="10"/>
      <color rgb="FF2E6FA8"/>
      <name val="Arial"/>
      <family val="0"/>
      <charset val="1"/>
    </font>
    <font>
      <sz val="10"/>
      <color rgb="FF2E6FA8"/>
      <name val="WenQuanYi Zen Hei"/>
      <family val="2"/>
    </font>
    <font>
      <b val="true"/>
      <sz val="10"/>
      <color rgb="FF2E6FA8"/>
      <name val="WenQuanYi Zen Hei"/>
      <family val="2"/>
    </font>
    <font>
      <b val="true"/>
      <sz val="10"/>
      <color rgb="FF2E6FA8"/>
      <name val="Arial"/>
      <family val="0"/>
      <charset val="1"/>
    </font>
    <font>
      <b val="true"/>
      <sz val="9"/>
      <color rgb="FF1F3A63"/>
      <name val="WenQuanYi Zen Hei"/>
      <family val="2"/>
    </font>
    <font>
      <b val="true"/>
      <sz val="9"/>
      <color rgb="FF1F3A63"/>
      <name val="Arial"/>
      <family val="0"/>
      <charset val="1"/>
    </font>
    <font>
      <b val="true"/>
      <sz val="9"/>
      <color rgb="FF7A2230"/>
      <name val="WenQuanYi Zen Hei"/>
      <family val="2"/>
    </font>
    <font>
      <b val="true"/>
      <sz val="9"/>
      <color rgb="FF7A2230"/>
      <name val="Arial"/>
      <family val="0"/>
      <charset val="1"/>
    </font>
    <font>
      <sz val="10"/>
      <color rgb="FFA6552E"/>
      <name val="Arial"/>
      <family val="0"/>
      <charset val="1"/>
    </font>
    <font>
      <i val="true"/>
      <sz val="8"/>
      <color rgb="FFC1121F"/>
      <name val="Arial"/>
      <family val="0"/>
      <charset val="1"/>
    </font>
    <font>
      <i val="true"/>
      <sz val="8"/>
      <color rgb="FFC1121F"/>
      <name val="WenQuanYi Zen Hei"/>
      <family val="2"/>
    </font>
    <font>
      <b val="true"/>
      <sz val="14"/>
      <color rgb="FF1B1714"/>
      <name val="Arial"/>
      <family val="0"/>
      <charset val="1"/>
    </font>
    <font>
      <b val="true"/>
      <sz val="14"/>
      <color rgb="FF1B1714"/>
      <name val="WenQuanYi Zen Hei"/>
      <family val="2"/>
    </font>
    <font>
      <b val="true"/>
      <sz val="10"/>
      <color rgb="FF1B1714"/>
      <name val="WenQuanYi Zen Hei"/>
      <family val="2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B1714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1B1714"/>
      <name val="WenQuanYi Zen Hei"/>
      <family val="2"/>
    </font>
    <font>
      <b val="true"/>
      <sz val="10"/>
      <color rgb="FFC1121F"/>
      <name val="Arial"/>
      <family val="0"/>
      <charset val="1"/>
    </font>
    <font>
      <b val="true"/>
      <sz val="9"/>
      <color rgb="FF1B1714"/>
      <name val="WenQuanYi Zen Hei"/>
      <family val="2"/>
    </font>
    <font>
      <b val="true"/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C1121F"/>
        <bgColor rgb="FF800000"/>
      </patternFill>
    </fill>
    <fill>
      <patternFill patternType="solid">
        <fgColor rgb="FFFFF6CC"/>
        <bgColor rgb="FFEFE9DC"/>
      </patternFill>
    </fill>
    <fill>
      <patternFill patternType="solid">
        <fgColor rgb="FF7A2230"/>
        <bgColor rgb="FF800000"/>
      </patternFill>
    </fill>
    <fill>
      <patternFill patternType="solid">
        <fgColor rgb="FF1F3A63"/>
        <bgColor rgb="FF333333"/>
      </patternFill>
    </fill>
    <fill>
      <patternFill patternType="solid">
        <fgColor rgb="FFEAF0F7"/>
        <bgColor rgb="FFF6ECEE"/>
      </patternFill>
    </fill>
    <fill>
      <patternFill patternType="solid">
        <fgColor rgb="FFF6ECEE"/>
        <bgColor rgb="FFEFE9DC"/>
      </patternFill>
    </fill>
    <fill>
      <patternFill patternType="solid">
        <fgColor rgb="FF1B1714"/>
        <bgColor rgb="FF000000"/>
      </patternFill>
    </fill>
    <fill>
      <patternFill patternType="solid">
        <fgColor rgb="FFEFE9DC"/>
        <bgColor rgb="FFF6ECEE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1B1714"/>
      </top>
      <bottom style="thin">
        <color rgb="FF1B1714"/>
      </bottom>
      <diagonal/>
    </border>
    <border diagonalUp="false" diagonalDown="false">
      <left/>
      <right/>
      <top style="thin">
        <color rgb="FF1B171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5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5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2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9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9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8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2" fillId="9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0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9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1121F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6CC"/>
      <rgbColor rgb="FFEAF0F7"/>
      <rgbColor rgb="FF660066"/>
      <rgbColor rgb="FFFF8080"/>
      <rgbColor rgb="FF2E6F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ECEE"/>
      <rgbColor rgb="FFEFE9D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F81BD"/>
      <rgbColor rgb="FF8C8473"/>
      <rgbColor rgb="FF1F3A63"/>
      <rgbColor rgb="FF339966"/>
      <rgbColor rgb="FF003300"/>
      <rgbColor rgb="FF1B1714"/>
      <rgbColor rgb="FF7A2230"/>
      <rgbColor rgb="FFA6552E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by plant &amp; Consolidated FCFF ($mm)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Consolidated!B6</c:f>
              <c:strCache>
                <c:ptCount val="1"/>
                <c:pt idx="0">
                  <c:v>SKBA revenue (파우치)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Consolidated!$C$6:$M$6</c:f>
              <c:numCache>
                <c:formatCode>\$#,##0;"($"#,##0\);\-</c:formatCode>
                <c:ptCount val="11"/>
                <c:pt idx="1">
                  <c:v>0</c:v>
                </c:pt>
                <c:pt idx="2">
                  <c:v>722.92</c:v>
                </c:pt>
                <c:pt idx="3">
                  <c:v>1643</c:v>
                </c:pt>
                <c:pt idx="4">
                  <c:v>1946.16</c:v>
                </c:pt>
                <c:pt idx="5">
                  <c:v>2176.816</c:v>
                </c:pt>
                <c:pt idx="6">
                  <c:v>2249.0656</c:v>
                </c:pt>
                <c:pt idx="7">
                  <c:v>2243.808</c:v>
                </c:pt>
                <c:pt idx="8">
                  <c:v>2213.28</c:v>
                </c:pt>
                <c:pt idx="9">
                  <c:v>2182.752</c:v>
                </c:pt>
                <c:pt idx="10">
                  <c:v>2152.224</c:v>
                </c:pt>
              </c:numCache>
            </c:numRef>
          </c:val>
        </c:ser>
        <c:ser>
          <c:idx val="1"/>
          <c:order val="1"/>
          <c:tx>
            <c:strRef>
              <c:f>Consolidated!B7</c:f>
              <c:strCache>
                <c:ptCount val="1"/>
                <c:pt idx="0">
                  <c:v>SKOT revenue (각형+파우치)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Consolidated!$C$7:$M$7</c:f>
              <c:numCache>
                <c:formatCode>\$#,##0;"($"#,##0\);\-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1242.108</c:v>
                </c:pt>
                <c:pt idx="4">
                  <c:v>1926.6984</c:v>
                </c:pt>
                <c:pt idx="5">
                  <c:v>2420.1072</c:v>
                </c:pt>
                <c:pt idx="6">
                  <c:v>2729.2032</c:v>
                </c:pt>
                <c:pt idx="7">
                  <c:v>2860.8552</c:v>
                </c:pt>
                <c:pt idx="8">
                  <c:v>2821.932</c:v>
                </c:pt>
                <c:pt idx="9">
                  <c:v>2783.0088</c:v>
                </c:pt>
                <c:pt idx="10">
                  <c:v>2744.0856</c:v>
                </c:pt>
              </c:numCache>
            </c:numRef>
          </c:val>
        </c:ser>
        <c:gapWidth val="150"/>
        <c:overlap val="100"/>
        <c:axId val="26245628"/>
        <c:axId val="47548902"/>
      </c:barChart>
      <c:lineChart>
        <c:grouping val="stacked"/>
        <c:varyColors val="0"/>
        <c:ser>
          <c:idx val="2"/>
          <c:order val="2"/>
          <c:tx>
            <c:strRef>
              <c:f>Consolidated!B28</c:f>
              <c:strCache>
                <c:ptCount val="1"/>
                <c:pt idx="0">
                  <c:v>Consolidated FCFF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Consolidated!$C$28:$M$28</c:f>
              <c:numCache>
                <c:formatCode>\$#,##0;"($"#,##0\);\-</c:formatCode>
                <c:ptCount val="11"/>
                <c:pt idx="1">
                  <c:v>-360</c:v>
                </c:pt>
                <c:pt idx="2">
                  <c:v>-462.113116</c:v>
                </c:pt>
                <c:pt idx="3">
                  <c:v>388.291683280001</c:v>
                </c:pt>
                <c:pt idx="4">
                  <c:v>1220.106978</c:v>
                </c:pt>
                <c:pt idx="5">
                  <c:v>1173.330025472</c:v>
                </c:pt>
                <c:pt idx="6">
                  <c:v>959.863373792</c:v>
                </c:pt>
                <c:pt idx="7">
                  <c:v>634.366208240001</c:v>
                </c:pt>
                <c:pt idx="8">
                  <c:v>261.5830724</c:v>
                </c:pt>
                <c:pt idx="9">
                  <c:v>258.34809656</c:v>
                </c:pt>
                <c:pt idx="10">
                  <c:v>255.11312072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6245628"/>
        <c:axId val="47548902"/>
      </c:lineChart>
      <c:catAx>
        <c:axId val="262456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548902"/>
        <c:crosses val="autoZero"/>
        <c:auto val="1"/>
        <c:lblAlgn val="ctr"/>
        <c:lblOffset val="100"/>
        <c:noMultiLvlLbl val="0"/>
      </c:catAx>
      <c:valAx>
        <c:axId val="475489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24562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97</xdr:row>
      <xdr:rowOff>145440</xdr:rowOff>
    </xdr:from>
    <xdr:to>
      <xdr:col>7</xdr:col>
      <xdr:colOff>541080</xdr:colOff>
      <xdr:row>112</xdr:row>
      <xdr:rowOff>167400</xdr:rowOff>
    </xdr:to>
    <xdr:graphicFrame>
      <xdr:nvGraphicFramePr>
        <xdr:cNvPr id="0" name="Chart 1"/>
        <xdr:cNvGraphicFramePr/>
      </xdr:nvGraphicFramePr>
      <xdr:xfrm>
        <a:off x="177840" y="1866888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1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3"/>
    <col collapsed="false" customWidth="true" hidden="false" outlineLevel="0" max="13" min="4" style="0" width="9.5"/>
  </cols>
  <sheetData>
    <row r="1" customFormat="false" ht="18.5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</row>
    <row r="5" customFormat="false" ht="15" hidden="false" customHeight="false" outlineLevel="0" collapsed="false">
      <c r="B5" s="4" t="s">
        <v>3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</row>
    <row r="6" customFormat="false" ht="15" hidden="false" customHeight="false" outlineLevel="0" collapsed="false">
      <c r="B6" s="6" t="s">
        <v>4</v>
      </c>
      <c r="C6" s="7" t="n">
        <v>0.8</v>
      </c>
      <c r="D6" s="8" t="s">
        <v>5</v>
      </c>
    </row>
    <row r="7" customFormat="false" ht="15" hidden="false" customHeight="false" outlineLevel="0" collapsed="false">
      <c r="B7" s="6" t="s">
        <v>6</v>
      </c>
      <c r="C7" s="9" t="n">
        <v>2</v>
      </c>
      <c r="D7" s="10" t="s">
        <v>7</v>
      </c>
    </row>
    <row r="8" customFormat="false" ht="15" hidden="false" customHeight="false" outlineLevel="0" collapsed="false">
      <c r="B8" s="6" t="s">
        <v>8</v>
      </c>
      <c r="C8" s="10" t="s">
        <v>9</v>
      </c>
      <c r="D8" s="11" t="n">
        <v>0</v>
      </c>
      <c r="E8" s="11" t="n">
        <v>45</v>
      </c>
      <c r="F8" s="11" t="n">
        <v>45</v>
      </c>
      <c r="G8" s="11" t="n">
        <v>45</v>
      </c>
      <c r="H8" s="11" t="n">
        <v>33.75</v>
      </c>
      <c r="I8" s="11" t="n">
        <v>22.5</v>
      </c>
      <c r="J8" s="11" t="n">
        <v>11.25</v>
      </c>
      <c r="K8" s="11" t="n">
        <v>0</v>
      </c>
      <c r="L8" s="11" t="n">
        <v>0</v>
      </c>
      <c r="M8" s="11" t="n">
        <v>0</v>
      </c>
    </row>
    <row r="10" customFormat="false" ht="15" hidden="false" customHeight="false" outlineLevel="0" collapsed="false">
      <c r="B10" s="12" t="s">
        <v>10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</row>
    <row r="11" customFormat="false" ht="15" hidden="false" customHeight="false" outlineLevel="0" collapsed="false">
      <c r="B11" s="14" t="s">
        <v>11</v>
      </c>
    </row>
    <row r="12" customFormat="false" ht="15" hidden="false" customHeight="false" outlineLevel="0" collapsed="false">
      <c r="B12" s="15" t="s">
        <v>12</v>
      </c>
      <c r="C12" s="16"/>
      <c r="D12" s="17" t="s">
        <v>13</v>
      </c>
      <c r="E12" s="17" t="s">
        <v>14</v>
      </c>
      <c r="F12" s="17" t="s">
        <v>15</v>
      </c>
      <c r="G12" s="17" t="s">
        <v>16</v>
      </c>
      <c r="H12" s="17" t="s">
        <v>17</v>
      </c>
      <c r="I12" s="17" t="s">
        <v>18</v>
      </c>
      <c r="J12" s="17" t="s">
        <v>19</v>
      </c>
      <c r="K12" s="17" t="s">
        <v>20</v>
      </c>
      <c r="L12" s="17" t="s">
        <v>21</v>
      </c>
      <c r="M12" s="17" t="s">
        <v>22</v>
      </c>
    </row>
    <row r="13" customFormat="false" ht="15" hidden="false" customHeight="false" outlineLevel="0" collapsed="false">
      <c r="B13" s="18" t="s">
        <v>23</v>
      </c>
      <c r="C13" s="10" t="s">
        <v>24</v>
      </c>
      <c r="D13" s="19" t="n">
        <v>52</v>
      </c>
      <c r="E13" s="19" t="n">
        <v>50</v>
      </c>
      <c r="F13" s="19" t="n">
        <v>48</v>
      </c>
      <c r="G13" s="19" t="n">
        <v>46</v>
      </c>
      <c r="H13" s="19" t="n">
        <v>45</v>
      </c>
      <c r="I13" s="19" t="n">
        <v>44</v>
      </c>
      <c r="J13" s="19" t="n">
        <v>43</v>
      </c>
      <c r="K13" s="19" t="n">
        <v>43</v>
      </c>
      <c r="L13" s="19" t="n">
        <v>42</v>
      </c>
      <c r="M13" s="19" t="n">
        <v>42</v>
      </c>
    </row>
    <row r="14" customFormat="false" ht="15" hidden="false" customHeight="false" outlineLevel="0" collapsed="false">
      <c r="B14" s="18" t="s">
        <v>25</v>
      </c>
      <c r="C14" s="8" t="s">
        <v>26</v>
      </c>
      <c r="D14" s="20" t="n">
        <v>0.034</v>
      </c>
      <c r="E14" s="20" t="n">
        <v>0.034</v>
      </c>
      <c r="F14" s="20" t="n">
        <v>0.034</v>
      </c>
      <c r="G14" s="20" t="n">
        <v>0.034</v>
      </c>
      <c r="H14" s="20" t="n">
        <v>0.034</v>
      </c>
      <c r="I14" s="20" t="n">
        <v>0.034</v>
      </c>
      <c r="J14" s="20" t="n">
        <v>0.034</v>
      </c>
      <c r="K14" s="20" t="n">
        <v>0.034</v>
      </c>
      <c r="L14" s="20" t="n">
        <v>0.034</v>
      </c>
      <c r="M14" s="20" t="n">
        <v>0.034</v>
      </c>
    </row>
    <row r="15" customFormat="false" ht="15" hidden="false" customHeight="false" outlineLevel="0" collapsed="false">
      <c r="B15" s="18" t="s">
        <v>27</v>
      </c>
      <c r="C15" s="10" t="s">
        <v>28</v>
      </c>
      <c r="D15" s="20" t="n">
        <v>0.1</v>
      </c>
      <c r="E15" s="20" t="n">
        <v>0.1</v>
      </c>
      <c r="F15" s="20" t="n">
        <v>0.1</v>
      </c>
      <c r="G15" s="20" t="n">
        <v>0.1</v>
      </c>
      <c r="H15" s="20" t="n">
        <v>0.1</v>
      </c>
      <c r="I15" s="20" t="n">
        <v>0.1</v>
      </c>
      <c r="J15" s="20" t="n">
        <v>0.1</v>
      </c>
      <c r="K15" s="20" t="n">
        <v>0.1</v>
      </c>
      <c r="L15" s="20" t="n">
        <v>0.1</v>
      </c>
      <c r="M15" s="20" t="n">
        <v>0.1</v>
      </c>
    </row>
    <row r="16" customFormat="false" ht="15" hidden="false" customHeight="false" outlineLevel="0" collapsed="false">
      <c r="B16" s="18" t="s">
        <v>29</v>
      </c>
      <c r="D16" s="20" t="n">
        <v>0.2</v>
      </c>
      <c r="E16" s="20" t="n">
        <v>0.2</v>
      </c>
      <c r="F16" s="20" t="n">
        <v>0.2</v>
      </c>
      <c r="G16" s="20" t="n">
        <v>0.2</v>
      </c>
      <c r="H16" s="20" t="n">
        <v>0.2</v>
      </c>
      <c r="I16" s="20" t="n">
        <v>0.2</v>
      </c>
      <c r="J16" s="20" t="n">
        <v>0.2</v>
      </c>
      <c r="K16" s="20" t="n">
        <v>0.2</v>
      </c>
      <c r="L16" s="20" t="n">
        <v>0.2</v>
      </c>
      <c r="M16" s="20" t="n">
        <v>0.2</v>
      </c>
    </row>
    <row r="17" customFormat="false" ht="15" hidden="false" customHeight="false" outlineLevel="0" collapsed="false">
      <c r="B17" s="21" t="s">
        <v>30</v>
      </c>
      <c r="C17" s="10" t="s">
        <v>31</v>
      </c>
      <c r="D17" s="20" t="n">
        <v>0.25</v>
      </c>
      <c r="E17" s="20" t="n">
        <v>0.25</v>
      </c>
      <c r="F17" s="20" t="n">
        <v>0.25</v>
      </c>
      <c r="G17" s="20" t="n">
        <v>0.25</v>
      </c>
      <c r="H17" s="20" t="n">
        <v>0.25</v>
      </c>
      <c r="I17" s="20" t="n">
        <v>0.25</v>
      </c>
      <c r="J17" s="20" t="n">
        <v>0.25</v>
      </c>
      <c r="K17" s="20" t="n">
        <v>0.25</v>
      </c>
      <c r="L17" s="20" t="n">
        <v>0.25</v>
      </c>
      <c r="M17" s="20" t="n">
        <v>0.25</v>
      </c>
    </row>
    <row r="18" customFormat="false" ht="15" hidden="false" customHeight="false" outlineLevel="0" collapsed="false">
      <c r="B18" s="22" t="s">
        <v>32</v>
      </c>
      <c r="C18" s="8" t="s">
        <v>33</v>
      </c>
      <c r="D18" s="23" t="n">
        <f aca="false">D14+D15+D16+D17</f>
        <v>0.584</v>
      </c>
      <c r="E18" s="23" t="n">
        <f aca="false">E14+E15+E16+E17</f>
        <v>0.584</v>
      </c>
      <c r="F18" s="23" t="n">
        <f aca="false">F14+F15+F16+F17</f>
        <v>0.584</v>
      </c>
      <c r="G18" s="23" t="n">
        <f aca="false">G14+G15+G16+G17</f>
        <v>0.584</v>
      </c>
      <c r="H18" s="23" t="n">
        <f aca="false">H14+H15+H16+H17</f>
        <v>0.584</v>
      </c>
      <c r="I18" s="23" t="n">
        <f aca="false">I14+I15+I16+I17</f>
        <v>0.584</v>
      </c>
      <c r="J18" s="23" t="n">
        <f aca="false">J14+J15+J16+J17</f>
        <v>0.584</v>
      </c>
      <c r="K18" s="23" t="n">
        <f aca="false">K14+K15+K16+K17</f>
        <v>0.584</v>
      </c>
      <c r="L18" s="23" t="n">
        <f aca="false">L14+L15+L16+L17</f>
        <v>0.584</v>
      </c>
      <c r="M18" s="23" t="n">
        <f aca="false">M14+M15+M16+M17</f>
        <v>0.584</v>
      </c>
    </row>
    <row r="19" customFormat="false" ht="15" hidden="false" customHeight="false" outlineLevel="0" collapsed="false">
      <c r="B19" s="24" t="s">
        <v>34</v>
      </c>
      <c r="C19" s="8" t="s">
        <v>35</v>
      </c>
      <c r="D19" s="25" t="n">
        <f aca="false">D13*(1+D18)</f>
        <v>82.368</v>
      </c>
      <c r="E19" s="25" t="n">
        <f aca="false">E13*(1+E18)</f>
        <v>79.2</v>
      </c>
      <c r="F19" s="25" t="n">
        <f aca="false">F13*(1+F18)</f>
        <v>76.032</v>
      </c>
      <c r="G19" s="25" t="n">
        <f aca="false">G13*(1+G18)</f>
        <v>72.864</v>
      </c>
      <c r="H19" s="25" t="n">
        <f aca="false">H13*(1+H18)</f>
        <v>71.28</v>
      </c>
      <c r="I19" s="25" t="n">
        <f aca="false">I13*(1+I18)</f>
        <v>69.696</v>
      </c>
      <c r="J19" s="25" t="n">
        <f aca="false">J13*(1+J18)</f>
        <v>68.112</v>
      </c>
      <c r="K19" s="25" t="n">
        <f aca="false">K13*(1+K18)</f>
        <v>68.112</v>
      </c>
      <c r="L19" s="25" t="n">
        <f aca="false">L13*(1+L18)</f>
        <v>66.528</v>
      </c>
      <c r="M19" s="25" t="n">
        <f aca="false">M13*(1+M18)</f>
        <v>66.528</v>
      </c>
    </row>
    <row r="20" customFormat="false" ht="15" hidden="false" customHeight="false" outlineLevel="0" collapsed="false">
      <c r="B20" s="18" t="s">
        <v>36</v>
      </c>
      <c r="C20" s="8" t="s">
        <v>37</v>
      </c>
      <c r="D20" s="20" t="n">
        <v>0.2</v>
      </c>
      <c r="E20" s="20" t="n">
        <v>0.2</v>
      </c>
      <c r="F20" s="20" t="n">
        <v>0.2</v>
      </c>
      <c r="G20" s="20" t="n">
        <v>0.2</v>
      </c>
      <c r="H20" s="20" t="n">
        <v>0.2</v>
      </c>
      <c r="I20" s="20" t="n">
        <v>0.2</v>
      </c>
      <c r="J20" s="20" t="n">
        <v>0.2</v>
      </c>
      <c r="K20" s="20" t="n">
        <v>0.2</v>
      </c>
      <c r="L20" s="20" t="n">
        <v>0.2</v>
      </c>
      <c r="M20" s="20" t="n">
        <v>0.2</v>
      </c>
    </row>
    <row r="21" customFormat="false" ht="15" hidden="false" customHeight="false" outlineLevel="0" collapsed="false">
      <c r="B21" s="26" t="s">
        <v>38</v>
      </c>
      <c r="C21" s="8" t="s">
        <v>39</v>
      </c>
      <c r="D21" s="27" t="n">
        <f aca="false">D19*(1+D20)</f>
        <v>98.8416</v>
      </c>
      <c r="E21" s="27" t="n">
        <f aca="false">E19*(1+E20)</f>
        <v>95.04</v>
      </c>
      <c r="F21" s="27" t="n">
        <f aca="false">F19*(1+F20)</f>
        <v>91.2384</v>
      </c>
      <c r="G21" s="27" t="n">
        <f aca="false">G19*(1+G20)</f>
        <v>87.4368</v>
      </c>
      <c r="H21" s="27" t="n">
        <f aca="false">H19*(1+H20)</f>
        <v>85.536</v>
      </c>
      <c r="I21" s="27" t="n">
        <f aca="false">I19*(1+I20)</f>
        <v>83.6352</v>
      </c>
      <c r="J21" s="27" t="n">
        <f aca="false">J19*(1+J20)</f>
        <v>81.7344</v>
      </c>
      <c r="K21" s="27" t="n">
        <f aca="false">K19*(1+K20)</f>
        <v>81.7344</v>
      </c>
      <c r="L21" s="27" t="n">
        <f aca="false">L19*(1+L20)</f>
        <v>79.8336</v>
      </c>
      <c r="M21" s="27" t="n">
        <f aca="false">M19*(1+M20)</f>
        <v>79.8336</v>
      </c>
    </row>
    <row r="22" customFormat="false" ht="15" hidden="false" customHeight="false" outlineLevel="0" collapsed="false">
      <c r="B22" s="21" t="s">
        <v>40</v>
      </c>
      <c r="C22" s="10" t="s">
        <v>41</v>
      </c>
      <c r="D22" s="19" t="n">
        <v>0</v>
      </c>
      <c r="E22" s="19" t="n">
        <v>155</v>
      </c>
      <c r="F22" s="19" t="n">
        <v>155</v>
      </c>
      <c r="G22" s="19" t="n">
        <v>153</v>
      </c>
      <c r="H22" s="19" t="n">
        <v>151</v>
      </c>
      <c r="I22" s="19" t="n">
        <v>149</v>
      </c>
      <c r="J22" s="19" t="n">
        <v>147</v>
      </c>
      <c r="K22" s="19" t="n">
        <v>145</v>
      </c>
      <c r="L22" s="19" t="n">
        <v>143</v>
      </c>
      <c r="M22" s="19" t="n">
        <v>141</v>
      </c>
    </row>
    <row r="23" customFormat="false" ht="15" hidden="false" customHeight="false" outlineLevel="0" collapsed="false">
      <c r="B23" s="21" t="s">
        <v>42</v>
      </c>
      <c r="C23" s="10" t="s">
        <v>43</v>
      </c>
      <c r="D23" s="20" t="n">
        <v>0</v>
      </c>
      <c r="E23" s="20" t="n">
        <v>0</v>
      </c>
      <c r="F23" s="20" t="n">
        <v>0</v>
      </c>
      <c r="G23" s="20" t="n">
        <v>0</v>
      </c>
      <c r="H23" s="20" t="n">
        <v>0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 customFormat="false" ht="15" hidden="false" customHeight="false" outlineLevel="0" collapsed="false">
      <c r="B24" s="28" t="s">
        <v>44</v>
      </c>
      <c r="D24" s="29" t="n">
        <f aca="false">IF($C$7=2,D23,0)</f>
        <v>0</v>
      </c>
      <c r="E24" s="29" t="n">
        <f aca="false">IF($C$7=2,E23,0)</f>
        <v>0</v>
      </c>
      <c r="F24" s="29" t="n">
        <f aca="false">IF($C$7=2,F23,0)</f>
        <v>0</v>
      </c>
      <c r="G24" s="29" t="n">
        <f aca="false">IF($C$7=2,G23,0)</f>
        <v>0</v>
      </c>
      <c r="H24" s="29" t="n">
        <f aca="false">IF($C$7=2,H23,0)</f>
        <v>0</v>
      </c>
      <c r="I24" s="29" t="n">
        <f aca="false">IF($C$7=2,I23,0)</f>
        <v>0</v>
      </c>
      <c r="J24" s="29" t="n">
        <f aca="false">IF($C$7=2,J23,0)</f>
        <v>0</v>
      </c>
      <c r="K24" s="29" t="n">
        <f aca="false">IF($C$7=2,K23,0)</f>
        <v>0</v>
      </c>
      <c r="L24" s="29" t="n">
        <f aca="false">IF($C$7=2,L23,0)</f>
        <v>0</v>
      </c>
      <c r="M24" s="29" t="n">
        <f aca="false">IF($C$7=2,M23,0)</f>
        <v>0</v>
      </c>
    </row>
    <row r="25" customFormat="false" ht="15" hidden="false" customHeight="false" outlineLevel="0" collapsed="false">
      <c r="B25" s="30" t="s">
        <v>45</v>
      </c>
      <c r="C25" s="8" t="s">
        <v>46</v>
      </c>
      <c r="D25" s="31" t="n">
        <f aca="false">IF($C$7=2,D22,D21)</f>
        <v>0</v>
      </c>
      <c r="E25" s="31" t="n">
        <f aca="false">IF($C$7=2,E22,E21)</f>
        <v>155</v>
      </c>
      <c r="F25" s="31" t="n">
        <f aca="false">IF($C$7=2,F22,F21)</f>
        <v>155</v>
      </c>
      <c r="G25" s="31" t="n">
        <f aca="false">IF($C$7=2,G22,G21)</f>
        <v>153</v>
      </c>
      <c r="H25" s="31" t="n">
        <f aca="false">IF($C$7=2,H22,H21)</f>
        <v>151</v>
      </c>
      <c r="I25" s="31" t="n">
        <f aca="false">IF($C$7=2,I22,I21)</f>
        <v>149</v>
      </c>
      <c r="J25" s="31" t="n">
        <f aca="false">IF($C$7=2,J22,J21)</f>
        <v>147</v>
      </c>
      <c r="K25" s="31" t="n">
        <f aca="false">IF($C$7=2,K22,K21)</f>
        <v>145</v>
      </c>
      <c r="L25" s="31" t="n">
        <f aca="false">IF($C$7=2,L22,L21)</f>
        <v>143</v>
      </c>
      <c r="M25" s="31" t="n">
        <f aca="false">IF($C$7=2,M22,M21)</f>
        <v>141</v>
      </c>
    </row>
    <row r="27" customFormat="false" ht="15" hidden="false" customHeight="false" outlineLevel="0" collapsed="false">
      <c r="B27" s="32" t="s">
        <v>47</v>
      </c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</row>
    <row r="28" customFormat="false" ht="15" hidden="false" customHeight="false" outlineLevel="0" collapsed="false">
      <c r="B28" s="15" t="s">
        <v>48</v>
      </c>
      <c r="C28" s="16"/>
      <c r="D28" s="17" t="s">
        <v>13</v>
      </c>
      <c r="E28" s="17" t="s">
        <v>14</v>
      </c>
      <c r="F28" s="17" t="s">
        <v>15</v>
      </c>
      <c r="G28" s="17" t="s">
        <v>16</v>
      </c>
      <c r="H28" s="17" t="s">
        <v>17</v>
      </c>
      <c r="I28" s="17" t="s">
        <v>18</v>
      </c>
      <c r="J28" s="17" t="s">
        <v>19</v>
      </c>
      <c r="K28" s="17" t="s">
        <v>20</v>
      </c>
      <c r="L28" s="17" t="s">
        <v>21</v>
      </c>
      <c r="M28" s="17" t="s">
        <v>22</v>
      </c>
    </row>
    <row r="29" customFormat="false" ht="15" hidden="false" customHeight="false" outlineLevel="0" collapsed="false">
      <c r="B29" s="34" t="s">
        <v>49</v>
      </c>
    </row>
    <row r="30" customFormat="false" ht="15" hidden="false" customHeight="false" outlineLevel="0" collapsed="false">
      <c r="B30" s="21" t="s">
        <v>50</v>
      </c>
      <c r="C30" s="8" t="s">
        <v>51</v>
      </c>
      <c r="D30" s="35" t="n">
        <v>0</v>
      </c>
      <c r="E30" s="36" t="n">
        <v>5.3</v>
      </c>
      <c r="F30" s="36" t="n">
        <v>5.3</v>
      </c>
      <c r="G30" s="36" t="n">
        <v>5.3</v>
      </c>
      <c r="H30" s="36" t="n">
        <v>5.3</v>
      </c>
      <c r="I30" s="36" t="n">
        <v>5.3</v>
      </c>
      <c r="J30" s="36" t="n">
        <v>5.3</v>
      </c>
      <c r="K30" s="36" t="n">
        <v>5.3</v>
      </c>
      <c r="L30" s="36" t="n">
        <v>5.3</v>
      </c>
      <c r="M30" s="36" t="n">
        <v>5.3</v>
      </c>
    </row>
    <row r="31" customFormat="false" ht="15" hidden="false" customHeight="false" outlineLevel="0" collapsed="false">
      <c r="B31" s="18" t="s">
        <v>52</v>
      </c>
      <c r="D31" s="20" t="n">
        <v>0</v>
      </c>
      <c r="E31" s="20" t="n">
        <v>0.55</v>
      </c>
      <c r="F31" s="20" t="n">
        <v>0.7</v>
      </c>
      <c r="G31" s="20" t="n">
        <v>0.8</v>
      </c>
      <c r="H31" s="20" t="n">
        <v>0.88</v>
      </c>
      <c r="I31" s="20" t="n">
        <v>0.9</v>
      </c>
      <c r="J31" s="20" t="n">
        <v>0.9</v>
      </c>
      <c r="K31" s="20" t="n">
        <v>0.9</v>
      </c>
      <c r="L31" s="20" t="n">
        <v>0.9</v>
      </c>
      <c r="M31" s="20" t="n">
        <v>0.9</v>
      </c>
    </row>
    <row r="32" customFormat="false" ht="15" hidden="false" customHeight="false" outlineLevel="0" collapsed="false">
      <c r="B32" s="21" t="s">
        <v>53</v>
      </c>
      <c r="C32" s="8" t="s">
        <v>54</v>
      </c>
      <c r="D32" s="37" t="n">
        <f aca="false">D30*D31*$C$6</f>
        <v>0</v>
      </c>
      <c r="E32" s="37" t="n">
        <f aca="false">E30*E31*$C$6</f>
        <v>2.332</v>
      </c>
      <c r="F32" s="37" t="n">
        <f aca="false">F30*F31*$C$6</f>
        <v>2.968</v>
      </c>
      <c r="G32" s="37" t="n">
        <f aca="false">G30*G31*$C$6</f>
        <v>3.392</v>
      </c>
      <c r="H32" s="37" t="n">
        <f aca="false">H30*H31*$C$6</f>
        <v>3.7312</v>
      </c>
      <c r="I32" s="37" t="n">
        <f aca="false">I30*I31*$C$6</f>
        <v>3.816</v>
      </c>
      <c r="J32" s="37" t="n">
        <f aca="false">J30*J31*$C$6</f>
        <v>3.816</v>
      </c>
      <c r="K32" s="37" t="n">
        <f aca="false">K30*K31*$C$6</f>
        <v>3.816</v>
      </c>
      <c r="L32" s="37" t="n">
        <f aca="false">L30*L31*$C$6</f>
        <v>3.816</v>
      </c>
      <c r="M32" s="37" t="n">
        <f aca="false">M30*M31*$C$6</f>
        <v>3.816</v>
      </c>
    </row>
    <row r="33" customFormat="false" ht="15" hidden="false" customHeight="false" outlineLevel="0" collapsed="false">
      <c r="B33" s="21" t="s">
        <v>55</v>
      </c>
      <c r="C33" s="8" t="s">
        <v>51</v>
      </c>
      <c r="D33" s="35" t="n">
        <v>0</v>
      </c>
      <c r="E33" s="36" t="n">
        <v>5.3</v>
      </c>
      <c r="F33" s="36" t="n">
        <v>5.3</v>
      </c>
      <c r="G33" s="36" t="n">
        <v>5.3</v>
      </c>
      <c r="H33" s="36" t="n">
        <v>5.3</v>
      </c>
      <c r="I33" s="36" t="n">
        <v>5.3</v>
      </c>
      <c r="J33" s="36" t="n">
        <v>5.3</v>
      </c>
      <c r="K33" s="36" t="n">
        <v>5.3</v>
      </c>
      <c r="L33" s="36" t="n">
        <v>5.3</v>
      </c>
      <c r="M33" s="36" t="n">
        <v>5.3</v>
      </c>
    </row>
    <row r="34" customFormat="false" ht="15" hidden="false" customHeight="false" outlineLevel="0" collapsed="false">
      <c r="B34" s="18" t="s">
        <v>52</v>
      </c>
      <c r="D34" s="20" t="n">
        <v>0</v>
      </c>
      <c r="E34" s="20" t="n">
        <v>0.55</v>
      </c>
      <c r="F34" s="20" t="n">
        <v>0.7</v>
      </c>
      <c r="G34" s="20" t="n">
        <v>0.8</v>
      </c>
      <c r="H34" s="20" t="n">
        <v>0.88</v>
      </c>
      <c r="I34" s="20" t="n">
        <v>0.9</v>
      </c>
      <c r="J34" s="20" t="n">
        <v>0.9</v>
      </c>
      <c r="K34" s="20" t="n">
        <v>0.9</v>
      </c>
      <c r="L34" s="20" t="n">
        <v>0.9</v>
      </c>
      <c r="M34" s="20" t="n">
        <v>0.9</v>
      </c>
    </row>
    <row r="35" customFormat="false" ht="15" hidden="false" customHeight="false" outlineLevel="0" collapsed="false">
      <c r="B35" s="21" t="s">
        <v>53</v>
      </c>
      <c r="C35" s="8" t="s">
        <v>54</v>
      </c>
      <c r="D35" s="37" t="n">
        <f aca="false">D33*D34*$C$6</f>
        <v>0</v>
      </c>
      <c r="E35" s="37" t="n">
        <f aca="false">E33*E34*$C$6</f>
        <v>2.332</v>
      </c>
      <c r="F35" s="37" t="n">
        <f aca="false">F33*F34*$C$6</f>
        <v>2.968</v>
      </c>
      <c r="G35" s="37" t="n">
        <f aca="false">G33*G34*$C$6</f>
        <v>3.392</v>
      </c>
      <c r="H35" s="37" t="n">
        <f aca="false">H33*H34*$C$6</f>
        <v>3.7312</v>
      </c>
      <c r="I35" s="37" t="n">
        <f aca="false">I33*I34*$C$6</f>
        <v>3.816</v>
      </c>
      <c r="J35" s="37" t="n">
        <f aca="false">J33*J34*$C$6</f>
        <v>3.816</v>
      </c>
      <c r="K35" s="37" t="n">
        <f aca="false">K33*K34*$C$6</f>
        <v>3.816</v>
      </c>
      <c r="L35" s="37" t="n">
        <f aca="false">L33*L34*$C$6</f>
        <v>3.816</v>
      </c>
      <c r="M35" s="37" t="n">
        <f aca="false">M33*M34*$C$6</f>
        <v>3.816</v>
      </c>
    </row>
    <row r="36" customFormat="false" ht="15" hidden="false" customHeight="false" outlineLevel="0" collapsed="false">
      <c r="B36" s="34" t="s">
        <v>56</v>
      </c>
    </row>
    <row r="37" customFormat="false" ht="15" hidden="false" customHeight="false" outlineLevel="0" collapsed="false">
      <c r="B37" s="21" t="s">
        <v>57</v>
      </c>
      <c r="C37" s="8" t="s">
        <v>58</v>
      </c>
      <c r="D37" s="35" t="n">
        <v>0</v>
      </c>
      <c r="E37" s="35" t="n">
        <v>0</v>
      </c>
      <c r="F37" s="36" t="n">
        <v>5.3</v>
      </c>
      <c r="G37" s="36" t="n">
        <v>5.3</v>
      </c>
      <c r="H37" s="36" t="n">
        <v>5.3</v>
      </c>
      <c r="I37" s="36" t="n">
        <v>5.3</v>
      </c>
      <c r="J37" s="36" t="n">
        <v>5.3</v>
      </c>
      <c r="K37" s="36" t="n">
        <v>5.3</v>
      </c>
      <c r="L37" s="36" t="n">
        <v>5.3</v>
      </c>
      <c r="M37" s="36" t="n">
        <v>5.3</v>
      </c>
    </row>
    <row r="38" customFormat="false" ht="15" hidden="false" customHeight="false" outlineLevel="0" collapsed="false">
      <c r="B38" s="18" t="s">
        <v>52</v>
      </c>
      <c r="D38" s="20" t="n">
        <v>0</v>
      </c>
      <c r="E38" s="20" t="n">
        <v>0</v>
      </c>
      <c r="F38" s="20" t="n">
        <v>0.55</v>
      </c>
      <c r="G38" s="20" t="n">
        <v>0.7</v>
      </c>
      <c r="H38" s="20" t="n">
        <v>0.82</v>
      </c>
      <c r="I38" s="20" t="n">
        <v>0.88</v>
      </c>
      <c r="J38" s="20" t="n">
        <v>0.9</v>
      </c>
      <c r="K38" s="20" t="n">
        <v>0.9</v>
      </c>
      <c r="L38" s="20" t="n">
        <v>0.9</v>
      </c>
      <c r="M38" s="20" t="n">
        <v>0.9</v>
      </c>
    </row>
    <row r="39" customFormat="false" ht="15" hidden="false" customHeight="false" outlineLevel="0" collapsed="false">
      <c r="B39" s="21" t="s">
        <v>53</v>
      </c>
      <c r="C39" s="8" t="s">
        <v>54</v>
      </c>
      <c r="D39" s="37" t="n">
        <f aca="false">D37*D38*$C$6</f>
        <v>0</v>
      </c>
      <c r="E39" s="37" t="n">
        <f aca="false">E37*E38*$C$6</f>
        <v>0</v>
      </c>
      <c r="F39" s="37" t="n">
        <f aca="false">F37*F38*$C$6</f>
        <v>2.332</v>
      </c>
      <c r="G39" s="37" t="n">
        <f aca="false">G37*G38*$C$6</f>
        <v>2.968</v>
      </c>
      <c r="H39" s="37" t="n">
        <f aca="false">H37*H38*$C$6</f>
        <v>3.4768</v>
      </c>
      <c r="I39" s="37" t="n">
        <f aca="false">I37*I38*$C$6</f>
        <v>3.7312</v>
      </c>
      <c r="J39" s="37" t="n">
        <f aca="false">J37*J38*$C$6</f>
        <v>3.816</v>
      </c>
      <c r="K39" s="37" t="n">
        <f aca="false">K37*K38*$C$6</f>
        <v>3.816</v>
      </c>
      <c r="L39" s="37" t="n">
        <f aca="false">L37*L38*$C$6</f>
        <v>3.816</v>
      </c>
      <c r="M39" s="37" t="n">
        <f aca="false">M37*M38*$C$6</f>
        <v>3.816</v>
      </c>
    </row>
    <row r="40" customFormat="false" ht="15" hidden="false" customHeight="false" outlineLevel="0" collapsed="false">
      <c r="B40" s="21" t="s">
        <v>59</v>
      </c>
      <c r="C40" s="8" t="s">
        <v>58</v>
      </c>
      <c r="D40" s="35" t="n">
        <v>0</v>
      </c>
      <c r="E40" s="35" t="n">
        <v>0</v>
      </c>
      <c r="F40" s="36" t="n">
        <v>5.3</v>
      </c>
      <c r="G40" s="36" t="n">
        <v>5.3</v>
      </c>
      <c r="H40" s="36" t="n">
        <v>5.3</v>
      </c>
      <c r="I40" s="36" t="n">
        <v>5.3</v>
      </c>
      <c r="J40" s="36" t="n">
        <v>5.3</v>
      </c>
      <c r="K40" s="36" t="n">
        <v>5.3</v>
      </c>
      <c r="L40" s="36" t="n">
        <v>5.3</v>
      </c>
      <c r="M40" s="36" t="n">
        <v>5.3</v>
      </c>
    </row>
    <row r="41" customFormat="false" ht="15" hidden="false" customHeight="false" outlineLevel="0" collapsed="false">
      <c r="B41" s="18" t="s">
        <v>52</v>
      </c>
      <c r="D41" s="20" t="n">
        <v>0</v>
      </c>
      <c r="E41" s="20" t="n">
        <v>0</v>
      </c>
      <c r="F41" s="20" t="n">
        <v>0.55</v>
      </c>
      <c r="G41" s="20" t="n">
        <v>0.7</v>
      </c>
      <c r="H41" s="20" t="n">
        <v>0.82</v>
      </c>
      <c r="I41" s="20" t="n">
        <v>0.88</v>
      </c>
      <c r="J41" s="20" t="n">
        <v>0.9</v>
      </c>
      <c r="K41" s="20" t="n">
        <v>0.9</v>
      </c>
      <c r="L41" s="20" t="n">
        <v>0.9</v>
      </c>
      <c r="M41" s="20" t="n">
        <v>0.9</v>
      </c>
    </row>
    <row r="42" customFormat="false" ht="15" hidden="false" customHeight="false" outlineLevel="0" collapsed="false">
      <c r="B42" s="21" t="s">
        <v>53</v>
      </c>
      <c r="C42" s="8" t="s">
        <v>54</v>
      </c>
      <c r="D42" s="37" t="n">
        <f aca="false">D40*D41*$C$6</f>
        <v>0</v>
      </c>
      <c r="E42" s="37" t="n">
        <f aca="false">E40*E41*$C$6</f>
        <v>0</v>
      </c>
      <c r="F42" s="37" t="n">
        <f aca="false">F40*F41*$C$6</f>
        <v>2.332</v>
      </c>
      <c r="G42" s="37" t="n">
        <f aca="false">G40*G41*$C$6</f>
        <v>2.968</v>
      </c>
      <c r="H42" s="37" t="n">
        <f aca="false">H40*H41*$C$6</f>
        <v>3.4768</v>
      </c>
      <c r="I42" s="37" t="n">
        <f aca="false">I40*I41*$C$6</f>
        <v>3.7312</v>
      </c>
      <c r="J42" s="37" t="n">
        <f aca="false">J40*J41*$C$6</f>
        <v>3.816</v>
      </c>
      <c r="K42" s="37" t="n">
        <f aca="false">K40*K41*$C$6</f>
        <v>3.816</v>
      </c>
      <c r="L42" s="37" t="n">
        <f aca="false">L40*L41*$C$6</f>
        <v>3.816</v>
      </c>
      <c r="M42" s="37" t="n">
        <f aca="false">M40*M41*$C$6</f>
        <v>3.816</v>
      </c>
    </row>
    <row r="43" customFormat="false" ht="15" hidden="false" customHeight="false" outlineLevel="0" collapsed="false">
      <c r="B43" s="6" t="s">
        <v>60</v>
      </c>
      <c r="C43" s="8" t="s">
        <v>61</v>
      </c>
      <c r="D43" s="37" t="n">
        <f aca="false">D32+D35</f>
        <v>0</v>
      </c>
      <c r="E43" s="37" t="n">
        <f aca="false">E32+E35</f>
        <v>4.664</v>
      </c>
      <c r="F43" s="37" t="n">
        <f aca="false">F32+F35</f>
        <v>5.936</v>
      </c>
      <c r="G43" s="37" t="n">
        <f aca="false">G32+G35</f>
        <v>6.784</v>
      </c>
      <c r="H43" s="37" t="n">
        <f aca="false">H32+H35</f>
        <v>7.4624</v>
      </c>
      <c r="I43" s="37" t="n">
        <f aca="false">I32+I35</f>
        <v>7.632</v>
      </c>
      <c r="J43" s="37" t="n">
        <f aca="false">J32+J35</f>
        <v>7.632</v>
      </c>
      <c r="K43" s="37" t="n">
        <f aca="false">K32+K35</f>
        <v>7.632</v>
      </c>
      <c r="L43" s="37" t="n">
        <f aca="false">L32+L35</f>
        <v>7.632</v>
      </c>
      <c r="M43" s="37" t="n">
        <f aca="false">M32+M35</f>
        <v>7.632</v>
      </c>
    </row>
    <row r="44" customFormat="false" ht="15" hidden="false" customHeight="false" outlineLevel="0" collapsed="false">
      <c r="B44" s="6" t="s">
        <v>62</v>
      </c>
      <c r="C44" s="8" t="s">
        <v>63</v>
      </c>
      <c r="D44" s="37" t="n">
        <f aca="false">D39+D42</f>
        <v>0</v>
      </c>
      <c r="E44" s="37" t="n">
        <f aca="false">E39+E42</f>
        <v>0</v>
      </c>
      <c r="F44" s="37" t="n">
        <f aca="false">F39+F42</f>
        <v>4.664</v>
      </c>
      <c r="G44" s="37" t="n">
        <f aca="false">G39+G42</f>
        <v>5.936</v>
      </c>
      <c r="H44" s="37" t="n">
        <f aca="false">H39+H42</f>
        <v>6.9536</v>
      </c>
      <c r="I44" s="37" t="n">
        <f aca="false">I39+I42</f>
        <v>7.4624</v>
      </c>
      <c r="J44" s="37" t="n">
        <f aca="false">J39+J42</f>
        <v>7.632</v>
      </c>
      <c r="K44" s="37" t="n">
        <f aca="false">K39+K42</f>
        <v>7.632</v>
      </c>
      <c r="L44" s="37" t="n">
        <f aca="false">L39+L42</f>
        <v>7.632</v>
      </c>
      <c r="M44" s="37" t="n">
        <f aca="false">M39+M42</f>
        <v>7.632</v>
      </c>
    </row>
    <row r="45" customFormat="false" ht="15" hidden="false" customHeight="false" outlineLevel="0" collapsed="false">
      <c r="B45" s="6" t="s">
        <v>64</v>
      </c>
      <c r="C45" s="10" t="s">
        <v>65</v>
      </c>
      <c r="D45" s="37" t="n">
        <f aca="false">D43+D44</f>
        <v>0</v>
      </c>
      <c r="E45" s="37" t="n">
        <f aca="false">E43+E44</f>
        <v>4.664</v>
      </c>
      <c r="F45" s="37" t="n">
        <f aca="false">F43+F44</f>
        <v>10.6</v>
      </c>
      <c r="G45" s="37" t="n">
        <f aca="false">G43+G44</f>
        <v>12.72</v>
      </c>
      <c r="H45" s="37" t="n">
        <f aca="false">H43+H44</f>
        <v>14.416</v>
      </c>
      <c r="I45" s="37" t="n">
        <f aca="false">I43+I44</f>
        <v>15.0944</v>
      </c>
      <c r="J45" s="37" t="n">
        <f aca="false">J43+J44</f>
        <v>15.264</v>
      </c>
      <c r="K45" s="37" t="n">
        <f aca="false">K43+K44</f>
        <v>15.264</v>
      </c>
      <c r="L45" s="37" t="n">
        <f aca="false">L43+L44</f>
        <v>15.264</v>
      </c>
      <c r="M45" s="37" t="n">
        <f aca="false">M43+M44</f>
        <v>15.264</v>
      </c>
    </row>
    <row r="46" customFormat="false" ht="15" hidden="false" customHeight="false" outlineLevel="0" collapsed="false">
      <c r="B46" s="21" t="s">
        <v>66</v>
      </c>
      <c r="C46" s="8" t="s">
        <v>67</v>
      </c>
      <c r="D46" s="27" t="n">
        <f aca="false">D25</f>
        <v>0</v>
      </c>
      <c r="E46" s="27" t="n">
        <f aca="false">E25</f>
        <v>155</v>
      </c>
      <c r="F46" s="27" t="n">
        <f aca="false">F25</f>
        <v>155</v>
      </c>
      <c r="G46" s="27" t="n">
        <f aca="false">G25</f>
        <v>153</v>
      </c>
      <c r="H46" s="27" t="n">
        <f aca="false">H25</f>
        <v>151</v>
      </c>
      <c r="I46" s="27" t="n">
        <f aca="false">I25</f>
        <v>149</v>
      </c>
      <c r="J46" s="27" t="n">
        <f aca="false">J25</f>
        <v>147</v>
      </c>
      <c r="K46" s="27" t="n">
        <f aca="false">K25</f>
        <v>145</v>
      </c>
      <c r="L46" s="27" t="n">
        <f aca="false">L25</f>
        <v>143</v>
      </c>
      <c r="M46" s="27" t="n">
        <f aca="false">M25</f>
        <v>141</v>
      </c>
    </row>
    <row r="47" customFormat="false" ht="15" hidden="false" customHeight="false" outlineLevel="0" collapsed="false">
      <c r="B47" s="21" t="s">
        <v>68</v>
      </c>
      <c r="C47" s="8" t="s">
        <v>69</v>
      </c>
      <c r="D47" s="20" t="n">
        <v>0</v>
      </c>
      <c r="E47" s="20" t="n">
        <v>0.16</v>
      </c>
      <c r="F47" s="20" t="n">
        <v>0.16</v>
      </c>
      <c r="G47" s="20" t="n">
        <v>0.16</v>
      </c>
      <c r="H47" s="20" t="n">
        <v>0.16</v>
      </c>
      <c r="I47" s="20" t="n">
        <v>0.16</v>
      </c>
      <c r="J47" s="20" t="n">
        <v>0.16</v>
      </c>
      <c r="K47" s="20" t="n">
        <v>0.16</v>
      </c>
      <c r="L47" s="20" t="n">
        <v>0.16</v>
      </c>
      <c r="M47" s="20" t="n">
        <v>0.16</v>
      </c>
    </row>
    <row r="48" customFormat="false" ht="15" hidden="false" customHeight="false" outlineLevel="0" collapsed="false">
      <c r="B48" s="21" t="s">
        <v>70</v>
      </c>
      <c r="C48" s="8" t="s">
        <v>71</v>
      </c>
      <c r="D48" s="20" t="n">
        <v>0</v>
      </c>
      <c r="E48" s="20" t="n">
        <v>0</v>
      </c>
      <c r="F48" s="20" t="n">
        <v>0.14</v>
      </c>
      <c r="G48" s="20" t="n">
        <v>0.14</v>
      </c>
      <c r="H48" s="20" t="n">
        <v>0.14</v>
      </c>
      <c r="I48" s="20" t="n">
        <v>0.14</v>
      </c>
      <c r="J48" s="20" t="n">
        <v>0.14</v>
      </c>
      <c r="K48" s="20" t="n">
        <v>0.14</v>
      </c>
      <c r="L48" s="20" t="n">
        <v>0.14</v>
      </c>
      <c r="M48" s="20" t="n">
        <v>0.14</v>
      </c>
    </row>
    <row r="49" customFormat="false" ht="15" hidden="false" customHeight="false" outlineLevel="0" collapsed="false">
      <c r="B49" s="21" t="s">
        <v>72</v>
      </c>
      <c r="C49" s="10" t="s">
        <v>73</v>
      </c>
      <c r="D49" s="38" t="n">
        <f aca="false">D46*(1-D47-D24)</f>
        <v>0</v>
      </c>
      <c r="E49" s="38" t="n">
        <f aca="false">E46*(1-E47-E24)</f>
        <v>130.2</v>
      </c>
      <c r="F49" s="38" t="n">
        <f aca="false">F46*(1-F47-F24)</f>
        <v>130.2</v>
      </c>
      <c r="G49" s="38" t="n">
        <f aca="false">G46*(1-G47-G24)</f>
        <v>128.52</v>
      </c>
      <c r="H49" s="38" t="n">
        <f aca="false">H46*(1-H47-H24)</f>
        <v>126.84</v>
      </c>
      <c r="I49" s="38" t="n">
        <f aca="false">I46*(1-I47-I24)</f>
        <v>125.16</v>
      </c>
      <c r="J49" s="38" t="n">
        <f aca="false">J46*(1-J47-J24)</f>
        <v>123.48</v>
      </c>
      <c r="K49" s="38" t="n">
        <f aca="false">K46*(1-K47-K24)</f>
        <v>121.8</v>
      </c>
      <c r="L49" s="38" t="n">
        <f aca="false">L46*(1-L47-L24)</f>
        <v>120.12</v>
      </c>
      <c r="M49" s="38" t="n">
        <f aca="false">M46*(1-M47-M24)</f>
        <v>118.44</v>
      </c>
    </row>
    <row r="50" customFormat="false" ht="15" hidden="false" customHeight="false" outlineLevel="0" collapsed="false">
      <c r="B50" s="21" t="s">
        <v>74</v>
      </c>
      <c r="C50" s="8" t="s">
        <v>75</v>
      </c>
      <c r="D50" s="38" t="n">
        <f aca="false">D46*(1-D48-D24)</f>
        <v>0</v>
      </c>
      <c r="E50" s="38" t="n">
        <f aca="false">E46*(1-E48-E24)</f>
        <v>155</v>
      </c>
      <c r="F50" s="38" t="n">
        <f aca="false">F46*(1-F48-F24)</f>
        <v>133.3</v>
      </c>
      <c r="G50" s="38" t="n">
        <f aca="false">G46*(1-G48-G24)</f>
        <v>131.58</v>
      </c>
      <c r="H50" s="38" t="n">
        <f aca="false">H46*(1-H48-H24)</f>
        <v>129.86</v>
      </c>
      <c r="I50" s="38" t="n">
        <f aca="false">I46*(1-I48-I24)</f>
        <v>128.14</v>
      </c>
      <c r="J50" s="38" t="n">
        <f aca="false">J46*(1-J48-J24)</f>
        <v>126.42</v>
      </c>
      <c r="K50" s="38" t="n">
        <f aca="false">K46*(1-K48-K24)</f>
        <v>124.7</v>
      </c>
      <c r="L50" s="38" t="n">
        <f aca="false">L46*(1-L48-L24)</f>
        <v>122.98</v>
      </c>
      <c r="M50" s="38" t="n">
        <f aca="false">M46*(1-M48-M24)</f>
        <v>121.26</v>
      </c>
    </row>
    <row r="51" customFormat="false" ht="15" hidden="false" customHeight="false" outlineLevel="0" collapsed="false">
      <c r="B51" s="21" t="s">
        <v>76</v>
      </c>
      <c r="C51" s="8" t="s">
        <v>77</v>
      </c>
      <c r="D51" s="19" t="n">
        <v>200</v>
      </c>
      <c r="E51" s="19" t="n">
        <v>120</v>
      </c>
      <c r="F51" s="19" t="n">
        <v>0</v>
      </c>
      <c r="G51" s="19" t="n">
        <v>0</v>
      </c>
      <c r="H51" s="19" t="n">
        <v>0</v>
      </c>
      <c r="I51" s="19" t="n">
        <v>0</v>
      </c>
      <c r="J51" s="19" t="n">
        <v>0</v>
      </c>
      <c r="K51" s="19" t="n">
        <v>0</v>
      </c>
      <c r="L51" s="19" t="n">
        <v>0</v>
      </c>
      <c r="M51" s="19" t="n">
        <v>0</v>
      </c>
    </row>
    <row r="52" customFormat="false" ht="15" hidden="false" customHeight="false" outlineLevel="0" collapsed="false">
      <c r="B52" s="21" t="s">
        <v>78</v>
      </c>
      <c r="C52" s="8" t="s">
        <v>79</v>
      </c>
      <c r="D52" s="19" t="n">
        <v>0</v>
      </c>
      <c r="E52" s="19" t="n">
        <v>60</v>
      </c>
      <c r="F52" s="19" t="n">
        <v>40</v>
      </c>
      <c r="G52" s="19" t="n">
        <v>0</v>
      </c>
      <c r="H52" s="19" t="n">
        <v>0</v>
      </c>
      <c r="I52" s="19" t="n">
        <v>0</v>
      </c>
      <c r="J52" s="19" t="n">
        <v>0</v>
      </c>
      <c r="K52" s="19" t="n">
        <v>0</v>
      </c>
      <c r="L52" s="19" t="n">
        <v>0</v>
      </c>
      <c r="M52" s="19" t="n">
        <v>0</v>
      </c>
    </row>
    <row r="53" customFormat="false" ht="15" hidden="false" customHeight="false" outlineLevel="0" collapsed="false">
      <c r="B53" s="6" t="s">
        <v>80</v>
      </c>
      <c r="D53" s="39" t="n">
        <f aca="false">D51+D52</f>
        <v>200</v>
      </c>
      <c r="E53" s="39" t="n">
        <f aca="false">E51+E52</f>
        <v>180</v>
      </c>
      <c r="F53" s="39" t="n">
        <f aca="false">F51+F52</f>
        <v>40</v>
      </c>
      <c r="G53" s="39" t="n">
        <f aca="false">G51+G52</f>
        <v>0</v>
      </c>
      <c r="H53" s="39" t="n">
        <f aca="false">H51+H52</f>
        <v>0</v>
      </c>
      <c r="I53" s="39" t="n">
        <f aca="false">I51+I52</f>
        <v>0</v>
      </c>
      <c r="J53" s="39" t="n">
        <f aca="false">J51+J52</f>
        <v>0</v>
      </c>
      <c r="K53" s="39" t="n">
        <f aca="false">K51+K52</f>
        <v>0</v>
      </c>
      <c r="L53" s="39" t="n">
        <f aca="false">L51+L52</f>
        <v>0</v>
      </c>
      <c r="M53" s="39" t="n">
        <f aca="false">M51+M52</f>
        <v>0</v>
      </c>
    </row>
    <row r="55" customFormat="false" ht="15" hidden="false" customHeight="false" outlineLevel="0" collapsed="false">
      <c r="B55" s="12" t="s">
        <v>81</v>
      </c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</row>
    <row r="56" customFormat="false" ht="15" hidden="false" customHeight="false" outlineLevel="0" collapsed="false">
      <c r="B56" s="14" t="s">
        <v>82</v>
      </c>
    </row>
    <row r="57" customFormat="false" ht="15" hidden="false" customHeight="false" outlineLevel="0" collapsed="false">
      <c r="B57" s="15" t="s">
        <v>48</v>
      </c>
      <c r="C57" s="16"/>
      <c r="D57" s="17" t="s">
        <v>13</v>
      </c>
      <c r="E57" s="17" t="s">
        <v>14</v>
      </c>
      <c r="F57" s="17" t="s">
        <v>15</v>
      </c>
      <c r="G57" s="17" t="s">
        <v>16</v>
      </c>
      <c r="H57" s="17" t="s">
        <v>17</v>
      </c>
      <c r="I57" s="17" t="s">
        <v>18</v>
      </c>
      <c r="J57" s="17" t="s">
        <v>19</v>
      </c>
      <c r="K57" s="17" t="s">
        <v>20</v>
      </c>
      <c r="L57" s="17" t="s">
        <v>21</v>
      </c>
      <c r="M57" s="17" t="s">
        <v>22</v>
      </c>
    </row>
    <row r="58" customFormat="false" ht="15" hidden="false" customHeight="false" outlineLevel="0" collapsed="false">
      <c r="B58" s="40" t="s">
        <v>83</v>
      </c>
    </row>
    <row r="59" customFormat="false" ht="15" hidden="false" customHeight="false" outlineLevel="0" collapsed="false">
      <c r="B59" s="18" t="s">
        <v>84</v>
      </c>
      <c r="C59" s="8" t="s">
        <v>85</v>
      </c>
      <c r="D59" s="35" t="n">
        <v>0</v>
      </c>
      <c r="E59" s="35" t="n">
        <v>0</v>
      </c>
      <c r="F59" s="41" t="n">
        <v>13.5</v>
      </c>
      <c r="G59" s="41" t="n">
        <v>13.5</v>
      </c>
      <c r="H59" s="41" t="n">
        <v>13.5</v>
      </c>
      <c r="I59" s="41" t="n">
        <v>13.5</v>
      </c>
      <c r="J59" s="41" t="n">
        <v>13.5</v>
      </c>
      <c r="K59" s="41" t="n">
        <v>13.5</v>
      </c>
      <c r="L59" s="41" t="n">
        <v>13.5</v>
      </c>
      <c r="M59" s="41" t="n">
        <v>13.5</v>
      </c>
    </row>
    <row r="60" customFormat="false" ht="15" hidden="false" customHeight="false" outlineLevel="0" collapsed="false">
      <c r="B60" s="18" t="s">
        <v>52</v>
      </c>
      <c r="D60" s="20" t="n">
        <v>0</v>
      </c>
      <c r="E60" s="20" t="n">
        <v>0</v>
      </c>
      <c r="F60" s="20" t="n">
        <v>0.35</v>
      </c>
      <c r="G60" s="20" t="n">
        <v>0.55</v>
      </c>
      <c r="H60" s="20" t="n">
        <v>0.7</v>
      </c>
      <c r="I60" s="20" t="n">
        <v>0.8</v>
      </c>
      <c r="J60" s="20" t="n">
        <v>0.85</v>
      </c>
      <c r="K60" s="20" t="n">
        <v>0.85</v>
      </c>
      <c r="L60" s="20" t="n">
        <v>0.85</v>
      </c>
      <c r="M60" s="20" t="n">
        <v>0.85</v>
      </c>
    </row>
    <row r="61" customFormat="false" ht="15" hidden="false" customHeight="false" outlineLevel="0" collapsed="false">
      <c r="B61" s="21" t="s">
        <v>53</v>
      </c>
      <c r="C61" s="8" t="s">
        <v>54</v>
      </c>
      <c r="D61" s="37" t="n">
        <f aca="false">D59*D60*$C$6</f>
        <v>0</v>
      </c>
      <c r="E61" s="37" t="n">
        <f aca="false">E59*E60*$C$6</f>
        <v>0</v>
      </c>
      <c r="F61" s="37" t="n">
        <f aca="false">F59*F60*$C$6</f>
        <v>3.78</v>
      </c>
      <c r="G61" s="37" t="n">
        <f aca="false">G59*G60*$C$6</f>
        <v>5.94</v>
      </c>
      <c r="H61" s="37" t="n">
        <f aca="false">H59*H60*$C$6</f>
        <v>7.56</v>
      </c>
      <c r="I61" s="37" t="n">
        <f aca="false">I59*I60*$C$6</f>
        <v>8.64</v>
      </c>
      <c r="J61" s="37" t="n">
        <f aca="false">J59*J60*$C$6</f>
        <v>9.18</v>
      </c>
      <c r="K61" s="37" t="n">
        <f aca="false">K59*K60*$C$6</f>
        <v>9.18</v>
      </c>
      <c r="L61" s="37" t="n">
        <f aca="false">L59*L60*$C$6</f>
        <v>9.18</v>
      </c>
      <c r="M61" s="37" t="n">
        <f aca="false">M59*M60*$C$6</f>
        <v>9.18</v>
      </c>
    </row>
    <row r="62" customFormat="false" ht="15" hidden="false" customHeight="false" outlineLevel="0" collapsed="false">
      <c r="B62" s="18" t="s">
        <v>86</v>
      </c>
      <c r="C62" s="8" t="s">
        <v>85</v>
      </c>
      <c r="D62" s="35" t="n">
        <v>0</v>
      </c>
      <c r="E62" s="35" t="n">
        <v>0</v>
      </c>
      <c r="F62" s="41" t="n">
        <v>13.5</v>
      </c>
      <c r="G62" s="41" t="n">
        <v>13.5</v>
      </c>
      <c r="H62" s="41" t="n">
        <v>13.5</v>
      </c>
      <c r="I62" s="41" t="n">
        <v>13.5</v>
      </c>
      <c r="J62" s="41" t="n">
        <v>13.5</v>
      </c>
      <c r="K62" s="41" t="n">
        <v>13.5</v>
      </c>
      <c r="L62" s="41" t="n">
        <v>13.5</v>
      </c>
      <c r="M62" s="41" t="n">
        <v>13.5</v>
      </c>
    </row>
    <row r="63" customFormat="false" ht="15" hidden="false" customHeight="false" outlineLevel="0" collapsed="false">
      <c r="B63" s="18" t="s">
        <v>52</v>
      </c>
      <c r="D63" s="20" t="n">
        <v>0</v>
      </c>
      <c r="E63" s="20" t="n">
        <v>0</v>
      </c>
      <c r="F63" s="20" t="n">
        <v>0.35</v>
      </c>
      <c r="G63" s="20" t="n">
        <v>0.55</v>
      </c>
      <c r="H63" s="20" t="n">
        <v>0.7</v>
      </c>
      <c r="I63" s="20" t="n">
        <v>0.8</v>
      </c>
      <c r="J63" s="20" t="n">
        <v>0.85</v>
      </c>
      <c r="K63" s="20" t="n">
        <v>0.85</v>
      </c>
      <c r="L63" s="20" t="n">
        <v>0.85</v>
      </c>
      <c r="M63" s="20" t="n">
        <v>0.85</v>
      </c>
    </row>
    <row r="64" customFormat="false" ht="15" hidden="false" customHeight="false" outlineLevel="0" collapsed="false">
      <c r="B64" s="21" t="s">
        <v>53</v>
      </c>
      <c r="C64" s="8" t="s">
        <v>54</v>
      </c>
      <c r="D64" s="37" t="n">
        <f aca="false">D62*D63*$C$6</f>
        <v>0</v>
      </c>
      <c r="E64" s="37" t="n">
        <f aca="false">E62*E63*$C$6</f>
        <v>0</v>
      </c>
      <c r="F64" s="37" t="n">
        <f aca="false">F62*F63*$C$6</f>
        <v>3.78</v>
      </c>
      <c r="G64" s="37" t="n">
        <f aca="false">G62*G63*$C$6</f>
        <v>5.94</v>
      </c>
      <c r="H64" s="37" t="n">
        <f aca="false">H62*H63*$C$6</f>
        <v>7.56</v>
      </c>
      <c r="I64" s="37" t="n">
        <f aca="false">I62*I63*$C$6</f>
        <v>8.64</v>
      </c>
      <c r="J64" s="37" t="n">
        <f aca="false">J62*J63*$C$6</f>
        <v>9.18</v>
      </c>
      <c r="K64" s="37" t="n">
        <f aca="false">K62*K63*$C$6</f>
        <v>9.18</v>
      </c>
      <c r="L64" s="37" t="n">
        <f aca="false">L62*L63*$C$6</f>
        <v>9.18</v>
      </c>
      <c r="M64" s="37" t="n">
        <f aca="false">M62*M63*$C$6</f>
        <v>9.18</v>
      </c>
    </row>
    <row r="65" customFormat="false" ht="15" hidden="false" customHeight="false" outlineLevel="0" collapsed="false">
      <c r="B65" s="40" t="s">
        <v>87</v>
      </c>
    </row>
    <row r="66" customFormat="false" ht="15" hidden="false" customHeight="false" outlineLevel="0" collapsed="false">
      <c r="B66" s="18" t="s">
        <v>88</v>
      </c>
      <c r="C66" s="8" t="s">
        <v>58</v>
      </c>
      <c r="D66" s="35" t="n">
        <v>0</v>
      </c>
      <c r="E66" s="35" t="n">
        <v>0</v>
      </c>
      <c r="F66" s="41" t="n">
        <v>2.7</v>
      </c>
      <c r="G66" s="41" t="n">
        <v>2.7</v>
      </c>
      <c r="H66" s="41" t="n">
        <v>2.7</v>
      </c>
      <c r="I66" s="41" t="n">
        <v>2.7</v>
      </c>
      <c r="J66" s="41" t="n">
        <v>2.7</v>
      </c>
      <c r="K66" s="41" t="n">
        <v>2.7</v>
      </c>
      <c r="L66" s="41" t="n">
        <v>2.7</v>
      </c>
      <c r="M66" s="41" t="n">
        <v>2.7</v>
      </c>
    </row>
    <row r="67" customFormat="false" ht="15" hidden="false" customHeight="false" outlineLevel="0" collapsed="false">
      <c r="B67" s="18" t="s">
        <v>52</v>
      </c>
      <c r="D67" s="20" t="n">
        <v>0</v>
      </c>
      <c r="E67" s="20" t="n">
        <v>0</v>
      </c>
      <c r="F67" s="20" t="n">
        <v>0.35</v>
      </c>
      <c r="G67" s="20" t="n">
        <v>0.55</v>
      </c>
      <c r="H67" s="20" t="n">
        <v>0.7</v>
      </c>
      <c r="I67" s="20" t="n">
        <v>0.8</v>
      </c>
      <c r="J67" s="20" t="n">
        <v>0.85</v>
      </c>
      <c r="K67" s="20" t="n">
        <v>0.85</v>
      </c>
      <c r="L67" s="20" t="n">
        <v>0.85</v>
      </c>
      <c r="M67" s="20" t="n">
        <v>0.85</v>
      </c>
    </row>
    <row r="68" customFormat="false" ht="15" hidden="false" customHeight="false" outlineLevel="0" collapsed="false">
      <c r="B68" s="21" t="s">
        <v>53</v>
      </c>
      <c r="C68" s="8" t="s">
        <v>54</v>
      </c>
      <c r="D68" s="37" t="n">
        <f aca="false">D66*D67*$C$6</f>
        <v>0</v>
      </c>
      <c r="E68" s="37" t="n">
        <f aca="false">E66*E67*$C$6</f>
        <v>0</v>
      </c>
      <c r="F68" s="37" t="n">
        <f aca="false">F66*F67*$C$6</f>
        <v>0.756</v>
      </c>
      <c r="G68" s="37" t="n">
        <f aca="false">G66*G67*$C$6</f>
        <v>1.188</v>
      </c>
      <c r="H68" s="37" t="n">
        <f aca="false">H66*H67*$C$6</f>
        <v>1.512</v>
      </c>
      <c r="I68" s="37" t="n">
        <f aca="false">I66*I67*$C$6</f>
        <v>1.728</v>
      </c>
      <c r="J68" s="37" t="n">
        <f aca="false">J66*J67*$C$6</f>
        <v>1.836</v>
      </c>
      <c r="K68" s="37" t="n">
        <f aca="false">K66*K67*$C$6</f>
        <v>1.836</v>
      </c>
      <c r="L68" s="37" t="n">
        <f aca="false">L66*L67*$C$6</f>
        <v>1.836</v>
      </c>
      <c r="M68" s="37" t="n">
        <f aca="false">M66*M67*$C$6</f>
        <v>1.836</v>
      </c>
    </row>
    <row r="69" customFormat="false" ht="15" hidden="false" customHeight="false" outlineLevel="0" collapsed="false">
      <c r="B69" s="6" t="s">
        <v>89</v>
      </c>
      <c r="C69" s="8" t="s">
        <v>90</v>
      </c>
      <c r="D69" s="37" t="n">
        <f aca="false">D61+D64</f>
        <v>0</v>
      </c>
      <c r="E69" s="37" t="n">
        <f aca="false">E61+E64</f>
        <v>0</v>
      </c>
      <c r="F69" s="37" t="n">
        <f aca="false">F61+F64</f>
        <v>7.56</v>
      </c>
      <c r="G69" s="37" t="n">
        <f aca="false">G61+G64</f>
        <v>11.88</v>
      </c>
      <c r="H69" s="37" t="n">
        <f aca="false">H61+H64</f>
        <v>15.12</v>
      </c>
      <c r="I69" s="37" t="n">
        <f aca="false">I61+I64</f>
        <v>17.28</v>
      </c>
      <c r="J69" s="37" t="n">
        <f aca="false">J61+J64</f>
        <v>18.36</v>
      </c>
      <c r="K69" s="37" t="n">
        <f aca="false">K61+K64</f>
        <v>18.36</v>
      </c>
      <c r="L69" s="37" t="n">
        <f aca="false">L61+L64</f>
        <v>18.36</v>
      </c>
      <c r="M69" s="37" t="n">
        <f aca="false">M61+M64</f>
        <v>18.36</v>
      </c>
    </row>
    <row r="70" customFormat="false" ht="15" hidden="false" customHeight="false" outlineLevel="0" collapsed="false">
      <c r="B70" s="6" t="s">
        <v>91</v>
      </c>
      <c r="C70" s="8" t="s">
        <v>92</v>
      </c>
      <c r="D70" s="37" t="n">
        <f aca="false">D68</f>
        <v>0</v>
      </c>
      <c r="E70" s="37" t="n">
        <f aca="false">E68</f>
        <v>0</v>
      </c>
      <c r="F70" s="37" t="n">
        <f aca="false">F68</f>
        <v>0.756</v>
      </c>
      <c r="G70" s="37" t="n">
        <f aca="false">G68</f>
        <v>1.188</v>
      </c>
      <c r="H70" s="37" t="n">
        <f aca="false">H68</f>
        <v>1.512</v>
      </c>
      <c r="I70" s="37" t="n">
        <f aca="false">I68</f>
        <v>1.728</v>
      </c>
      <c r="J70" s="37" t="n">
        <f aca="false">J68</f>
        <v>1.836</v>
      </c>
      <c r="K70" s="37" t="n">
        <f aca="false">K68</f>
        <v>1.836</v>
      </c>
      <c r="L70" s="37" t="n">
        <f aca="false">L68</f>
        <v>1.836</v>
      </c>
      <c r="M70" s="37" t="n">
        <f aca="false">M68</f>
        <v>1.836</v>
      </c>
    </row>
    <row r="71" customFormat="false" ht="15" hidden="false" customHeight="false" outlineLevel="0" collapsed="false">
      <c r="B71" s="18" t="s">
        <v>93</v>
      </c>
      <c r="C71" s="8" t="s">
        <v>94</v>
      </c>
      <c r="D71" s="20" t="n">
        <v>0</v>
      </c>
      <c r="E71" s="20" t="n">
        <v>0</v>
      </c>
      <c r="F71" s="20" t="n">
        <v>0.04</v>
      </c>
      <c r="G71" s="20" t="n">
        <v>0.04</v>
      </c>
      <c r="H71" s="20" t="n">
        <v>0.04</v>
      </c>
      <c r="I71" s="20" t="n">
        <v>0.04</v>
      </c>
      <c r="J71" s="20" t="n">
        <v>0.04</v>
      </c>
      <c r="K71" s="20" t="n">
        <v>0.04</v>
      </c>
      <c r="L71" s="20" t="n">
        <v>0.04</v>
      </c>
      <c r="M71" s="20" t="n">
        <v>0.04</v>
      </c>
    </row>
    <row r="72" customFormat="false" ht="15" hidden="false" customHeight="false" outlineLevel="0" collapsed="false">
      <c r="B72" s="21" t="s">
        <v>95</v>
      </c>
      <c r="C72" s="8" t="s">
        <v>96</v>
      </c>
      <c r="D72" s="42" t="n">
        <f aca="false">D25*(1-D71)</f>
        <v>0</v>
      </c>
      <c r="E72" s="42" t="n">
        <f aca="false">E25*(1-E71)</f>
        <v>155</v>
      </c>
      <c r="F72" s="42" t="n">
        <f aca="false">F25*(1-F71)</f>
        <v>148.8</v>
      </c>
      <c r="G72" s="42" t="n">
        <f aca="false">G25*(1-G71)</f>
        <v>146.88</v>
      </c>
      <c r="H72" s="42" t="n">
        <f aca="false">H25*(1-H71)</f>
        <v>144.96</v>
      </c>
      <c r="I72" s="42" t="n">
        <f aca="false">I25*(1-I71)</f>
        <v>143.04</v>
      </c>
      <c r="J72" s="42" t="n">
        <f aca="false">J25*(1-J71)</f>
        <v>141.12</v>
      </c>
      <c r="K72" s="42" t="n">
        <f aca="false">K25*(1-K71)</f>
        <v>139.2</v>
      </c>
      <c r="L72" s="42" t="n">
        <f aca="false">L25*(1-L71)</f>
        <v>137.28</v>
      </c>
      <c r="M72" s="42" t="n">
        <f aca="false">M25*(1-M71)</f>
        <v>135.36</v>
      </c>
    </row>
    <row r="73" customFormat="false" ht="15" hidden="false" customHeight="false" outlineLevel="0" collapsed="false">
      <c r="B73" s="18" t="s">
        <v>97</v>
      </c>
      <c r="D73" s="20" t="n">
        <v>0</v>
      </c>
      <c r="E73" s="20" t="n">
        <v>0</v>
      </c>
      <c r="F73" s="20" t="n">
        <v>0.15</v>
      </c>
      <c r="G73" s="20" t="n">
        <v>0.15</v>
      </c>
      <c r="H73" s="20" t="n">
        <v>0.15</v>
      </c>
      <c r="I73" s="20" t="n">
        <v>0.15</v>
      </c>
      <c r="J73" s="20" t="n">
        <v>0.15</v>
      </c>
      <c r="K73" s="20" t="n">
        <v>0.15</v>
      </c>
      <c r="L73" s="20" t="n">
        <v>0.15</v>
      </c>
      <c r="M73" s="20" t="n">
        <v>0.15</v>
      </c>
    </row>
    <row r="74" customFormat="false" ht="15" hidden="false" customHeight="false" outlineLevel="0" collapsed="false">
      <c r="B74" s="21" t="s">
        <v>98</v>
      </c>
      <c r="C74" s="10" t="s">
        <v>99</v>
      </c>
      <c r="D74" s="38" t="n">
        <f aca="false">D72*(1-D73-D24)</f>
        <v>0</v>
      </c>
      <c r="E74" s="38" t="n">
        <f aca="false">E72*(1-E73-E24)</f>
        <v>155</v>
      </c>
      <c r="F74" s="38" t="n">
        <f aca="false">F72*(1-F73-F24)</f>
        <v>126.48</v>
      </c>
      <c r="G74" s="38" t="n">
        <f aca="false">G72*(1-G73-G24)</f>
        <v>124.848</v>
      </c>
      <c r="H74" s="38" t="n">
        <f aca="false">H72*(1-H73-H24)</f>
        <v>123.216</v>
      </c>
      <c r="I74" s="38" t="n">
        <f aca="false">I72*(1-I73-I24)</f>
        <v>121.584</v>
      </c>
      <c r="J74" s="38" t="n">
        <f aca="false">J72*(1-J73-J24)</f>
        <v>119.952</v>
      </c>
      <c r="K74" s="38" t="n">
        <f aca="false">K72*(1-K73-K24)</f>
        <v>118.32</v>
      </c>
      <c r="L74" s="38" t="n">
        <f aca="false">L72*(1-L73-L24)</f>
        <v>116.688</v>
      </c>
      <c r="M74" s="38" t="n">
        <f aca="false">M72*(1-M73-M24)</f>
        <v>115.056</v>
      </c>
    </row>
    <row r="75" customFormat="false" ht="15" hidden="false" customHeight="false" outlineLevel="0" collapsed="false">
      <c r="B75" s="21" t="s">
        <v>66</v>
      </c>
      <c r="C75" s="8" t="s">
        <v>100</v>
      </c>
      <c r="D75" s="27" t="n">
        <f aca="false">D25</f>
        <v>0</v>
      </c>
      <c r="E75" s="27" t="n">
        <f aca="false">E25</f>
        <v>155</v>
      </c>
      <c r="F75" s="27" t="n">
        <f aca="false">F25</f>
        <v>155</v>
      </c>
      <c r="G75" s="27" t="n">
        <f aca="false">G25</f>
        <v>153</v>
      </c>
      <c r="H75" s="27" t="n">
        <f aca="false">H25</f>
        <v>151</v>
      </c>
      <c r="I75" s="27" t="n">
        <f aca="false">I25</f>
        <v>149</v>
      </c>
      <c r="J75" s="27" t="n">
        <f aca="false">J25</f>
        <v>147</v>
      </c>
      <c r="K75" s="27" t="n">
        <f aca="false">K25</f>
        <v>145</v>
      </c>
      <c r="L75" s="27" t="n">
        <f aca="false">L25</f>
        <v>143</v>
      </c>
      <c r="M75" s="27" t="n">
        <f aca="false">M25</f>
        <v>141</v>
      </c>
    </row>
    <row r="76" customFormat="false" ht="15" hidden="false" customHeight="false" outlineLevel="0" collapsed="false">
      <c r="B76" s="18" t="s">
        <v>101</v>
      </c>
      <c r="D76" s="20" t="n">
        <v>0</v>
      </c>
      <c r="E76" s="20" t="n">
        <v>0</v>
      </c>
      <c r="F76" s="20" t="n">
        <v>0.15</v>
      </c>
      <c r="G76" s="20" t="n">
        <v>0.15</v>
      </c>
      <c r="H76" s="20" t="n">
        <v>0.15</v>
      </c>
      <c r="I76" s="20" t="n">
        <v>0.15</v>
      </c>
      <c r="J76" s="20" t="n">
        <v>0.15</v>
      </c>
      <c r="K76" s="20" t="n">
        <v>0.15</v>
      </c>
      <c r="L76" s="20" t="n">
        <v>0.15</v>
      </c>
      <c r="M76" s="20" t="n">
        <v>0.15</v>
      </c>
    </row>
    <row r="77" customFormat="false" ht="15" hidden="false" customHeight="false" outlineLevel="0" collapsed="false">
      <c r="B77" s="21" t="s">
        <v>102</v>
      </c>
      <c r="C77" s="10" t="s">
        <v>99</v>
      </c>
      <c r="D77" s="38" t="n">
        <f aca="false">D75*(1-D76-D24)</f>
        <v>0</v>
      </c>
      <c r="E77" s="38" t="n">
        <f aca="false">E75*(1-E76-E24)</f>
        <v>155</v>
      </c>
      <c r="F77" s="38" t="n">
        <f aca="false">F75*(1-F76-F24)</f>
        <v>131.75</v>
      </c>
      <c r="G77" s="38" t="n">
        <f aca="false">G75*(1-G76-G24)</f>
        <v>130.05</v>
      </c>
      <c r="H77" s="38" t="n">
        <f aca="false">H75*(1-H76-H24)</f>
        <v>128.35</v>
      </c>
      <c r="I77" s="38" t="n">
        <f aca="false">I75*(1-I76-I24)</f>
        <v>126.65</v>
      </c>
      <c r="J77" s="38" t="n">
        <f aca="false">J75*(1-J76-J24)</f>
        <v>124.95</v>
      </c>
      <c r="K77" s="38" t="n">
        <f aca="false">K75*(1-K76-K24)</f>
        <v>123.25</v>
      </c>
      <c r="L77" s="38" t="n">
        <f aca="false">L75*(1-L76-L24)</f>
        <v>121.55</v>
      </c>
      <c r="M77" s="38" t="n">
        <f aca="false">M75*(1-M76-M24)</f>
        <v>119.85</v>
      </c>
    </row>
    <row r="78" customFormat="false" ht="15" hidden="false" customHeight="false" outlineLevel="0" collapsed="false">
      <c r="B78" s="21" t="s">
        <v>103</v>
      </c>
      <c r="C78" s="8" t="s">
        <v>104</v>
      </c>
      <c r="D78" s="19" t="n">
        <v>200</v>
      </c>
      <c r="E78" s="19" t="n">
        <v>500</v>
      </c>
      <c r="F78" s="19" t="n">
        <v>300</v>
      </c>
      <c r="G78" s="19" t="n">
        <v>0</v>
      </c>
      <c r="H78" s="19" t="n">
        <v>0</v>
      </c>
      <c r="I78" s="19" t="n">
        <v>0</v>
      </c>
      <c r="J78" s="19" t="n">
        <v>0</v>
      </c>
      <c r="K78" s="19" t="n">
        <v>0</v>
      </c>
      <c r="L78" s="19" t="n">
        <v>0</v>
      </c>
      <c r="M78" s="19" t="n">
        <v>0</v>
      </c>
    </row>
    <row r="80" customFormat="false" ht="15" hidden="false" customHeight="false" outlineLevel="0" collapsed="false">
      <c r="B80" s="43" t="s">
        <v>105</v>
      </c>
      <c r="C80" s="44"/>
      <c r="D80" s="44"/>
      <c r="E80" s="44"/>
      <c r="F80" s="44"/>
      <c r="G80" s="44"/>
      <c r="H80" s="44"/>
      <c r="I80" s="44"/>
      <c r="J80" s="44"/>
      <c r="K80" s="44"/>
      <c r="L80" s="44"/>
      <c r="M80" s="44"/>
    </row>
    <row r="81" customFormat="false" ht="15" hidden="false" customHeight="false" outlineLevel="0" collapsed="false">
      <c r="B81" s="21" t="s">
        <v>106</v>
      </c>
      <c r="C81" s="20" t="n">
        <v>0.06</v>
      </c>
    </row>
    <row r="82" customFormat="false" ht="15" hidden="false" customHeight="false" outlineLevel="0" collapsed="false">
      <c r="B82" s="21" t="s">
        <v>107</v>
      </c>
      <c r="C82" s="20" t="n">
        <v>0.0667</v>
      </c>
      <c r="D82" s="10" t="s">
        <v>108</v>
      </c>
    </row>
    <row r="83" customFormat="false" ht="15" hidden="false" customHeight="false" outlineLevel="0" collapsed="false">
      <c r="B83" s="21" t="s">
        <v>109</v>
      </c>
      <c r="C83" s="20" t="n">
        <v>0.03</v>
      </c>
    </row>
    <row r="84" customFormat="false" ht="15" hidden="false" customHeight="false" outlineLevel="0" collapsed="false">
      <c r="B84" s="21" t="s">
        <v>110</v>
      </c>
      <c r="C84" s="20" t="n">
        <v>0.1</v>
      </c>
      <c r="D84" s="8" t="s">
        <v>111</v>
      </c>
    </row>
    <row r="85" customFormat="false" ht="15" hidden="false" customHeight="false" outlineLevel="0" collapsed="false">
      <c r="B85" s="21" t="s">
        <v>112</v>
      </c>
      <c r="C85" s="20" t="n">
        <v>0.15</v>
      </c>
    </row>
    <row r="86" customFormat="false" ht="15" hidden="false" customHeight="false" outlineLevel="0" collapsed="false">
      <c r="B86" s="21" t="s">
        <v>113</v>
      </c>
      <c r="C86" s="20" t="n">
        <v>0.23</v>
      </c>
      <c r="D86" s="10" t="s">
        <v>114</v>
      </c>
    </row>
    <row r="87" customFormat="false" ht="15" hidden="false" customHeight="false" outlineLevel="0" collapsed="false">
      <c r="B87" s="21" t="s">
        <v>115</v>
      </c>
      <c r="C87" s="19" t="n">
        <v>4000</v>
      </c>
      <c r="D87" s="10" t="s">
        <v>116</v>
      </c>
    </row>
    <row r="88" customFormat="false" ht="15" hidden="false" customHeight="false" outlineLevel="0" collapsed="false">
      <c r="B88" s="21" t="s">
        <v>117</v>
      </c>
      <c r="C88" s="19" t="n">
        <v>0</v>
      </c>
      <c r="D88" s="8" t="s">
        <v>118</v>
      </c>
    </row>
    <row r="89" customFormat="false" ht="15" hidden="false" customHeight="false" outlineLevel="0" collapsed="false">
      <c r="B89" s="21" t="s">
        <v>119</v>
      </c>
      <c r="C89" s="20" t="n">
        <v>0.8</v>
      </c>
      <c r="D89" s="10" t="s">
        <v>120</v>
      </c>
    </row>
    <row r="90" customFormat="false" ht="15" hidden="false" customHeight="false" outlineLevel="0" collapsed="false">
      <c r="B90" s="21" t="s">
        <v>121</v>
      </c>
      <c r="C90" s="20" t="n">
        <v>0.105</v>
      </c>
    </row>
    <row r="91" customFormat="false" ht="15" hidden="false" customHeight="false" outlineLevel="0" collapsed="false">
      <c r="B91" s="21" t="s">
        <v>122</v>
      </c>
      <c r="C91" s="20" t="n">
        <v>0.13</v>
      </c>
      <c r="D91" s="8" t="s">
        <v>123</v>
      </c>
    </row>
    <row r="92" customFormat="false" ht="15" hidden="false" customHeight="false" outlineLevel="0" collapsed="false">
      <c r="B92" s="21" t="s">
        <v>124</v>
      </c>
      <c r="C92" s="20" t="n">
        <v>0.02</v>
      </c>
    </row>
    <row r="93" customFormat="false" ht="15" hidden="false" customHeight="false" outlineLevel="0" collapsed="false">
      <c r="B93" s="21" t="s">
        <v>125</v>
      </c>
      <c r="C93" s="19" t="n">
        <v>6000</v>
      </c>
      <c r="D93" s="10" t="s">
        <v>126</v>
      </c>
    </row>
    <row r="94" customFormat="false" ht="15" hidden="false" customHeight="false" outlineLevel="0" collapsed="false">
      <c r="B94" s="21" t="s">
        <v>127</v>
      </c>
      <c r="C94" s="45" t="n">
        <v>0.5</v>
      </c>
    </row>
    <row r="96" customFormat="false" ht="15" hidden="false" customHeight="false" outlineLevel="0" collapsed="false">
      <c r="B96" s="46" t="s">
        <v>128</v>
      </c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</row>
    <row r="97" customFormat="false" ht="15" hidden="false" customHeight="false" outlineLevel="0" collapsed="false">
      <c r="B97" s="14" t="s">
        <v>129</v>
      </c>
    </row>
    <row r="98" customFormat="false" ht="15" hidden="false" customHeight="false" outlineLevel="0" collapsed="false">
      <c r="B98" s="47" t="s">
        <v>130</v>
      </c>
    </row>
    <row r="99" customFormat="false" ht="15" hidden="false" customHeight="false" outlineLevel="0" collapsed="false">
      <c r="B99" s="21" t="s">
        <v>131</v>
      </c>
      <c r="C99" s="19" t="n">
        <v>800</v>
      </c>
      <c r="D99" s="8" t="s">
        <v>132</v>
      </c>
    </row>
    <row r="100" customFormat="false" ht="15" hidden="false" customHeight="false" outlineLevel="0" collapsed="false">
      <c r="B100" s="21" t="s">
        <v>133</v>
      </c>
      <c r="C100" s="20" t="n">
        <v>0.09</v>
      </c>
      <c r="D100" s="8" t="s">
        <v>134</v>
      </c>
    </row>
    <row r="101" customFormat="false" ht="15" hidden="false" customHeight="false" outlineLevel="0" collapsed="false">
      <c r="B101" s="48" t="s">
        <v>135</v>
      </c>
    </row>
    <row r="102" customFormat="false" ht="15" hidden="false" customHeight="false" outlineLevel="0" collapsed="false">
      <c r="B102" s="21" t="s">
        <v>136</v>
      </c>
      <c r="C102" s="19" t="n">
        <v>400</v>
      </c>
      <c r="D102" s="8" t="s">
        <v>137</v>
      </c>
    </row>
    <row r="103" customFormat="false" ht="15" hidden="false" customHeight="false" outlineLevel="0" collapsed="false">
      <c r="B103" s="21" t="s">
        <v>138</v>
      </c>
      <c r="C103" s="20" t="n">
        <v>0.06</v>
      </c>
      <c r="D103" s="10" t="s">
        <v>139</v>
      </c>
    </row>
    <row r="104" customFormat="false" ht="15" hidden="false" customHeight="false" outlineLevel="0" collapsed="false">
      <c r="B104" s="21" t="s">
        <v>140</v>
      </c>
      <c r="C104" s="19" t="n">
        <v>300</v>
      </c>
      <c r="D104" s="10" t="s">
        <v>141</v>
      </c>
    </row>
    <row r="105" customFormat="false" ht="15" hidden="false" customHeight="false" outlineLevel="0" collapsed="false">
      <c r="B105" s="47" t="s">
        <v>142</v>
      </c>
    </row>
    <row r="106" customFormat="false" ht="15" hidden="false" customHeight="false" outlineLevel="0" collapsed="false">
      <c r="B106" s="21" t="s">
        <v>143</v>
      </c>
      <c r="C106" s="19" t="n">
        <v>4000</v>
      </c>
      <c r="D106" s="8" t="s">
        <v>144</v>
      </c>
    </row>
    <row r="107" customFormat="false" ht="15" hidden="false" customHeight="false" outlineLevel="0" collapsed="false">
      <c r="B107" s="21" t="s">
        <v>145</v>
      </c>
      <c r="C107" s="20" t="n">
        <v>0.05</v>
      </c>
      <c r="D107" s="8" t="s">
        <v>146</v>
      </c>
    </row>
    <row r="108" customFormat="false" ht="15" hidden="false" customHeight="false" outlineLevel="0" collapsed="false">
      <c r="B108" s="21" t="s">
        <v>147</v>
      </c>
      <c r="C108" s="19" t="n">
        <v>0</v>
      </c>
      <c r="D108" s="8" t="s">
        <v>148</v>
      </c>
    </row>
    <row r="109" customFormat="false" ht="15" hidden="false" customHeight="false" outlineLevel="0" collapsed="false">
      <c r="B109" s="21" t="s">
        <v>149</v>
      </c>
      <c r="C109" s="20" t="n">
        <v>0.07</v>
      </c>
      <c r="D109" s="8" t="s">
        <v>150</v>
      </c>
    </row>
    <row r="110" customFormat="false" ht="15" hidden="false" customHeight="false" outlineLevel="0" collapsed="false">
      <c r="B110" s="21" t="s">
        <v>151</v>
      </c>
      <c r="C110" s="49" t="n">
        <v>2029</v>
      </c>
      <c r="D110" s="10" t="s">
        <v>152</v>
      </c>
    </row>
    <row r="111" customFormat="false" ht="15" hidden="false" customHeight="false" outlineLevel="0" collapsed="false">
      <c r="B111" s="21" t="s">
        <v>153</v>
      </c>
      <c r="C111" s="49" t="n">
        <v>2032</v>
      </c>
      <c r="D111" s="10" t="s">
        <v>154</v>
      </c>
    </row>
    <row r="112" customFormat="false" ht="15" hidden="false" customHeight="false" outlineLevel="0" collapsed="false">
      <c r="B112" s="21" t="s">
        <v>155</v>
      </c>
      <c r="C112" s="20" t="n">
        <v>0.05</v>
      </c>
      <c r="D112" s="10" t="s">
        <v>156</v>
      </c>
    </row>
    <row r="113" customFormat="false" ht="15" hidden="false" customHeight="false" outlineLevel="0" collapsed="false">
      <c r="B113" s="21" t="s">
        <v>157</v>
      </c>
      <c r="C113" s="19" t="n">
        <v>500</v>
      </c>
      <c r="D113" s="10" t="s">
        <v>158</v>
      </c>
    </row>
    <row r="115" customFormat="false" ht="15" hidden="false" customHeight="false" outlineLevel="0" collapsed="false">
      <c r="B115" s="10" t="s">
        <v>159</v>
      </c>
    </row>
    <row r="116" customFormat="false" ht="15" hidden="false" customHeight="false" outlineLevel="0" collapsed="false">
      <c r="B116" s="10" t="s">
        <v>160</v>
      </c>
    </row>
    <row r="118" customFormat="false" ht="15" hidden="false" customHeight="false" outlineLevel="0" collapsed="false">
      <c r="B118" s="21" t="s">
        <v>161</v>
      </c>
      <c r="C118" s="50" t="n">
        <v>2000</v>
      </c>
      <c r="D118" s="8" t="s">
        <v>162</v>
      </c>
    </row>
    <row r="119" customFormat="false" ht="15" hidden="false" customHeight="false" outlineLevel="0" collapsed="false">
      <c r="B119" s="21" t="s">
        <v>163</v>
      </c>
      <c r="C119" s="19" t="n">
        <v>3000</v>
      </c>
      <c r="D119" s="8" t="s">
        <v>164</v>
      </c>
    </row>
    <row r="121" customFormat="false" ht="15" hidden="false" customHeight="false" outlineLevel="0" collapsed="false">
      <c r="B121" s="10" t="s">
        <v>165</v>
      </c>
    </row>
    <row r="122" customFormat="false" ht="15" hidden="false" customHeight="false" outlineLevel="0" collapsed="false">
      <c r="B122" s="51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3" min="3" style="0" width="11"/>
    <col collapsed="false" customWidth="true" hidden="false" outlineLevel="0" max="13" min="4" style="0" width="9.5"/>
  </cols>
  <sheetData>
    <row r="1" customFormat="false" ht="19.4" hidden="false" customHeight="false" outlineLevel="0" collapsed="false">
      <c r="B1" s="52" t="s">
        <v>167</v>
      </c>
    </row>
    <row r="2" customFormat="false" ht="15" hidden="false" customHeight="false" outlineLevel="0" collapsed="false">
      <c r="B2" s="53" t="s">
        <v>168</v>
      </c>
    </row>
    <row r="4" customFormat="false" ht="15" hidden="false" customHeight="false" outlineLevel="0" collapsed="false">
      <c r="B4" s="32" t="s">
        <v>169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</row>
    <row r="5" customFormat="false" ht="15" hidden="false" customHeight="false" outlineLevel="0" collapsed="false">
      <c r="B5" s="15" t="s">
        <v>170</v>
      </c>
      <c r="C5" s="16"/>
      <c r="D5" s="17" t="s">
        <v>13</v>
      </c>
      <c r="E5" s="17" t="s">
        <v>14</v>
      </c>
      <c r="F5" s="17" t="s">
        <v>15</v>
      </c>
      <c r="G5" s="17" t="s">
        <v>16</v>
      </c>
      <c r="H5" s="17" t="s">
        <v>17</v>
      </c>
      <c r="I5" s="17" t="s">
        <v>18</v>
      </c>
      <c r="J5" s="17" t="s">
        <v>19</v>
      </c>
      <c r="K5" s="17" t="s">
        <v>20</v>
      </c>
      <c r="L5" s="17" t="s">
        <v>21</v>
      </c>
      <c r="M5" s="17" t="s">
        <v>22</v>
      </c>
    </row>
    <row r="6" customFormat="false" ht="15" hidden="false" customHeight="false" outlineLevel="0" collapsed="false">
      <c r="B6" s="21" t="s">
        <v>171</v>
      </c>
      <c r="D6" s="54" t="n">
        <f aca="false">Assumptions!D45</f>
        <v>0</v>
      </c>
      <c r="E6" s="54" t="n">
        <f aca="false">Assumptions!E45</f>
        <v>4.664</v>
      </c>
      <c r="F6" s="54" t="n">
        <f aca="false">Assumptions!F45</f>
        <v>10.6</v>
      </c>
      <c r="G6" s="54" t="n">
        <f aca="false">Assumptions!G45</f>
        <v>12.72</v>
      </c>
      <c r="H6" s="54" t="n">
        <f aca="false">Assumptions!H45</f>
        <v>14.416</v>
      </c>
      <c r="I6" s="54" t="n">
        <f aca="false">Assumptions!I45</f>
        <v>15.0944</v>
      </c>
      <c r="J6" s="54" t="n">
        <f aca="false">Assumptions!J45</f>
        <v>15.264</v>
      </c>
      <c r="K6" s="54" t="n">
        <f aca="false">Assumptions!K45</f>
        <v>15.264</v>
      </c>
      <c r="L6" s="54" t="n">
        <f aca="false">Assumptions!L45</f>
        <v>15.264</v>
      </c>
      <c r="M6" s="54" t="n">
        <f aca="false">Assumptions!M45</f>
        <v>15.264</v>
      </c>
    </row>
    <row r="7" customFormat="false" ht="15" hidden="false" customHeight="false" outlineLevel="0" collapsed="false">
      <c r="B7" s="21" t="s">
        <v>172</v>
      </c>
      <c r="D7" s="38" t="n">
        <f aca="false">Assumptions!D46</f>
        <v>0</v>
      </c>
      <c r="E7" s="38" t="n">
        <f aca="false">Assumptions!E46</f>
        <v>155</v>
      </c>
      <c r="F7" s="38" t="n">
        <f aca="false">Assumptions!F46</f>
        <v>155</v>
      </c>
      <c r="G7" s="38" t="n">
        <f aca="false">Assumptions!G46</f>
        <v>153</v>
      </c>
      <c r="H7" s="38" t="n">
        <f aca="false">Assumptions!H46</f>
        <v>151</v>
      </c>
      <c r="I7" s="38" t="n">
        <f aca="false">Assumptions!I46</f>
        <v>149</v>
      </c>
      <c r="J7" s="38" t="n">
        <f aca="false">Assumptions!J46</f>
        <v>147</v>
      </c>
      <c r="K7" s="38" t="n">
        <f aca="false">Assumptions!K46</f>
        <v>145</v>
      </c>
      <c r="L7" s="38" t="n">
        <f aca="false">Assumptions!L46</f>
        <v>143</v>
      </c>
      <c r="M7" s="38" t="n">
        <f aca="false">Assumptions!M46</f>
        <v>141</v>
      </c>
    </row>
    <row r="8" customFormat="false" ht="15" hidden="false" customHeight="false" outlineLevel="0" collapsed="false">
      <c r="B8" s="55" t="s">
        <v>173</v>
      </c>
      <c r="D8" s="56" t="n">
        <f aca="false">D6*D7</f>
        <v>0</v>
      </c>
      <c r="E8" s="56" t="n">
        <f aca="false">E6*E7</f>
        <v>722.92</v>
      </c>
      <c r="F8" s="56" t="n">
        <f aca="false">F6*F7</f>
        <v>1643</v>
      </c>
      <c r="G8" s="56" t="n">
        <f aca="false">G6*G7</f>
        <v>1946.16</v>
      </c>
      <c r="H8" s="56" t="n">
        <f aca="false">H6*H7</f>
        <v>2176.816</v>
      </c>
      <c r="I8" s="56" t="n">
        <f aca="false">I6*I7</f>
        <v>2249.0656</v>
      </c>
      <c r="J8" s="56" t="n">
        <f aca="false">J6*J7</f>
        <v>2243.808</v>
      </c>
      <c r="K8" s="56" t="n">
        <f aca="false">K6*K7</f>
        <v>2213.28</v>
      </c>
      <c r="L8" s="56" t="n">
        <f aca="false">L6*L7</f>
        <v>2182.752</v>
      </c>
      <c r="M8" s="56" t="n">
        <f aca="false">M6*M7</f>
        <v>2152.224</v>
      </c>
    </row>
    <row r="9" customFormat="false" ht="15" hidden="false" customHeight="false" outlineLevel="0" collapsed="false">
      <c r="B9" s="21" t="s">
        <v>174</v>
      </c>
      <c r="D9" s="38" t="n">
        <f aca="false">-(Assumptions!D43*Assumptions!D49+Assumptions!D44*Assumptions!D50)</f>
        <v>-0</v>
      </c>
      <c r="E9" s="38" t="n">
        <f aca="false">-(Assumptions!E43*Assumptions!E49+Assumptions!E44*Assumptions!E50)</f>
        <v>-607.2528</v>
      </c>
      <c r="F9" s="38" t="n">
        <f aca="false">-(Assumptions!F43*Assumptions!F49+Assumptions!F44*Assumptions!F50)</f>
        <v>-1394.5784</v>
      </c>
      <c r="G9" s="38" t="n">
        <f aca="false">-(Assumptions!G43*Assumptions!G49+Assumptions!G44*Assumptions!G50)</f>
        <v>-1652.93856</v>
      </c>
      <c r="H9" s="38" t="n">
        <f aca="false">-(Assumptions!H43*Assumptions!H49+Assumptions!H44*Assumptions!H50)</f>
        <v>-1849.525312</v>
      </c>
      <c r="I9" s="38" t="n">
        <f aca="false">-(Assumptions!I43*Assumptions!I49+Assumptions!I44*Assumptions!I50)</f>
        <v>-1911.453056</v>
      </c>
      <c r="J9" s="38" t="n">
        <f aca="false">-(Assumptions!J43*Assumptions!J49+Assumptions!J44*Assumptions!J50)</f>
        <v>-1907.2368</v>
      </c>
      <c r="K9" s="38" t="n">
        <f aca="false">-(Assumptions!K43*Assumptions!K49+Assumptions!K44*Assumptions!K50)</f>
        <v>-1881.288</v>
      </c>
      <c r="L9" s="38" t="n">
        <f aca="false">-(Assumptions!L43*Assumptions!L49+Assumptions!L44*Assumptions!L50)</f>
        <v>-1855.3392</v>
      </c>
      <c r="M9" s="38" t="n">
        <f aca="false">-(Assumptions!M43*Assumptions!M49+Assumptions!M44*Assumptions!M50)</f>
        <v>-1829.3904</v>
      </c>
    </row>
    <row r="10" customFormat="false" ht="15" hidden="false" customHeight="false" outlineLevel="0" collapsed="false">
      <c r="B10" s="32" t="s">
        <v>175</v>
      </c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</row>
    <row r="11" customFormat="false" ht="15" hidden="false" customHeight="false" outlineLevel="0" collapsed="false">
      <c r="B11" s="15" t="s">
        <v>170</v>
      </c>
      <c r="C11" s="16"/>
      <c r="D11" s="17" t="s">
        <v>13</v>
      </c>
      <c r="E11" s="17" t="s">
        <v>14</v>
      </c>
      <c r="F11" s="17" t="s">
        <v>15</v>
      </c>
      <c r="G11" s="17" t="s">
        <v>16</v>
      </c>
      <c r="H11" s="17" t="s">
        <v>17</v>
      </c>
      <c r="I11" s="17" t="s">
        <v>18</v>
      </c>
      <c r="J11" s="17" t="s">
        <v>19</v>
      </c>
      <c r="K11" s="17" t="s">
        <v>20</v>
      </c>
      <c r="L11" s="17" t="s">
        <v>21</v>
      </c>
      <c r="M11" s="17" t="s">
        <v>22</v>
      </c>
    </row>
    <row r="12" customFormat="false" ht="15" hidden="false" customHeight="false" outlineLevel="0" collapsed="false">
      <c r="B12" s="55" t="s">
        <v>176</v>
      </c>
      <c r="D12" s="56" t="n">
        <f aca="false">D8+D9</f>
        <v>0</v>
      </c>
      <c r="E12" s="56" t="n">
        <f aca="false">E8+E9</f>
        <v>115.6672</v>
      </c>
      <c r="F12" s="56" t="n">
        <f aca="false">F8+F9</f>
        <v>248.4216</v>
      </c>
      <c r="G12" s="56" t="n">
        <f aca="false">G8+G9</f>
        <v>293.22144</v>
      </c>
      <c r="H12" s="56" t="n">
        <f aca="false">H8+H9</f>
        <v>327.290688</v>
      </c>
      <c r="I12" s="56" t="n">
        <f aca="false">I8+I9</f>
        <v>337.612544</v>
      </c>
      <c r="J12" s="56" t="n">
        <f aca="false">J8+J9</f>
        <v>336.5712</v>
      </c>
      <c r="K12" s="56" t="n">
        <f aca="false">K8+K9</f>
        <v>331.992</v>
      </c>
      <c r="L12" s="56" t="n">
        <f aca="false">L8+L9</f>
        <v>327.4128</v>
      </c>
      <c r="M12" s="56" t="n">
        <f aca="false">M8+M9</f>
        <v>322.8336</v>
      </c>
    </row>
    <row r="13" customFormat="false" ht="15" hidden="false" customHeight="false" outlineLevel="0" collapsed="false">
      <c r="B13" s="21" t="s">
        <v>177</v>
      </c>
      <c r="D13" s="38" t="n">
        <f aca="false">-D8*Assumptions!$C$81</f>
        <v>-0</v>
      </c>
      <c r="E13" s="38" t="n">
        <f aca="false">-E8*Assumptions!$C$81</f>
        <v>-43.3752</v>
      </c>
      <c r="F13" s="38" t="n">
        <f aca="false">-F8*Assumptions!$C$81</f>
        <v>-98.58</v>
      </c>
      <c r="G13" s="38" t="n">
        <f aca="false">-G8*Assumptions!$C$81</f>
        <v>-116.7696</v>
      </c>
      <c r="H13" s="38" t="n">
        <f aca="false">-H8*Assumptions!$C$81</f>
        <v>-130.60896</v>
      </c>
      <c r="I13" s="38" t="n">
        <f aca="false">-I8*Assumptions!$C$81</f>
        <v>-134.943936</v>
      </c>
      <c r="J13" s="38" t="n">
        <f aca="false">-J8*Assumptions!$C$81</f>
        <v>-134.62848</v>
      </c>
      <c r="K13" s="38" t="n">
        <f aca="false">-K8*Assumptions!$C$81</f>
        <v>-132.7968</v>
      </c>
      <c r="L13" s="38" t="n">
        <f aca="false">-L8*Assumptions!$C$81</f>
        <v>-130.96512</v>
      </c>
      <c r="M13" s="38" t="n">
        <f aca="false">-M8*Assumptions!$C$81</f>
        <v>-129.13344</v>
      </c>
    </row>
    <row r="14" customFormat="false" ht="15" hidden="false" customHeight="false" outlineLevel="0" collapsed="false">
      <c r="B14" s="21" t="s">
        <v>178</v>
      </c>
      <c r="D14" s="38" t="n">
        <f aca="false">Assumptions!D53</f>
        <v>200</v>
      </c>
      <c r="E14" s="38" t="n">
        <f aca="false">D14+Assumptions!E53</f>
        <v>380</v>
      </c>
      <c r="F14" s="38" t="n">
        <f aca="false">E14+Assumptions!F53</f>
        <v>420</v>
      </c>
      <c r="G14" s="38" t="n">
        <f aca="false">F14+Assumptions!G53</f>
        <v>420</v>
      </c>
      <c r="H14" s="38" t="n">
        <f aca="false">G14+Assumptions!H53</f>
        <v>420</v>
      </c>
      <c r="I14" s="38" t="n">
        <f aca="false">H14+Assumptions!I53</f>
        <v>420</v>
      </c>
      <c r="J14" s="38" t="n">
        <f aca="false">I14+Assumptions!J53</f>
        <v>420</v>
      </c>
      <c r="K14" s="38" t="n">
        <f aca="false">J14+Assumptions!K53</f>
        <v>420</v>
      </c>
      <c r="L14" s="38" t="n">
        <f aca="false">K14+Assumptions!L53</f>
        <v>420</v>
      </c>
      <c r="M14" s="38" t="n">
        <f aca="false">L14+Assumptions!M53</f>
        <v>420</v>
      </c>
    </row>
    <row r="15" customFormat="false" ht="15" hidden="false" customHeight="false" outlineLevel="0" collapsed="false">
      <c r="B15" s="21" t="s">
        <v>179</v>
      </c>
      <c r="D15" s="38" t="n">
        <f aca="false">-D14*Assumptions!$C$82</f>
        <v>-13.34</v>
      </c>
      <c r="E15" s="38" t="n">
        <f aca="false">-E14*Assumptions!$C$82</f>
        <v>-25.346</v>
      </c>
      <c r="F15" s="38" t="n">
        <f aca="false">-F14*Assumptions!$C$82</f>
        <v>-28.014</v>
      </c>
      <c r="G15" s="38" t="n">
        <f aca="false">-G14*Assumptions!$C$82</f>
        <v>-28.014</v>
      </c>
      <c r="H15" s="38" t="n">
        <f aca="false">-H14*Assumptions!$C$82</f>
        <v>-28.014</v>
      </c>
      <c r="I15" s="38" t="n">
        <f aca="false">-I14*Assumptions!$C$82</f>
        <v>-28.014</v>
      </c>
      <c r="J15" s="38" t="n">
        <f aca="false">-J14*Assumptions!$C$82</f>
        <v>-28.014</v>
      </c>
      <c r="K15" s="38" t="n">
        <f aca="false">-K14*Assumptions!$C$82</f>
        <v>-28.014</v>
      </c>
      <c r="L15" s="38" t="n">
        <f aca="false">-L14*Assumptions!$C$82</f>
        <v>-28.014</v>
      </c>
      <c r="M15" s="38" t="n">
        <f aca="false">-M14*Assumptions!$C$82</f>
        <v>-28.014</v>
      </c>
    </row>
    <row r="16" customFormat="false" ht="15" hidden="false" customHeight="false" outlineLevel="0" collapsed="false">
      <c r="B16" s="55" t="s">
        <v>180</v>
      </c>
      <c r="D16" s="56" t="n">
        <f aca="false">D12+D13+D15</f>
        <v>-13.34</v>
      </c>
      <c r="E16" s="56" t="n">
        <f aca="false">E12+E13+E15</f>
        <v>46.9460000000001</v>
      </c>
      <c r="F16" s="56" t="n">
        <f aca="false">F12+F13+F15</f>
        <v>121.8276</v>
      </c>
      <c r="G16" s="56" t="n">
        <f aca="false">G12+G13+G15</f>
        <v>148.43784</v>
      </c>
      <c r="H16" s="56" t="n">
        <f aca="false">H12+H13+H15</f>
        <v>168.667728</v>
      </c>
      <c r="I16" s="56" t="n">
        <f aca="false">I12+I13+I15</f>
        <v>174.654608</v>
      </c>
      <c r="J16" s="56" t="n">
        <f aca="false">J12+J13+J15</f>
        <v>173.92872</v>
      </c>
      <c r="K16" s="56" t="n">
        <f aca="false">K12+K13+K15</f>
        <v>171.1812</v>
      </c>
      <c r="L16" s="56" t="n">
        <f aca="false">L12+L13+L15</f>
        <v>168.43368</v>
      </c>
      <c r="M16" s="56" t="n">
        <f aca="false">M12+M13+M15</f>
        <v>165.68616</v>
      </c>
    </row>
    <row r="17" customFormat="false" ht="15" hidden="false" customHeight="false" outlineLevel="0" collapsed="false">
      <c r="B17" s="21" t="s">
        <v>181</v>
      </c>
      <c r="D17" s="57" t="n">
        <f aca="false">IF(D8=0,0,D16/D8)</f>
        <v>0</v>
      </c>
      <c r="E17" s="57" t="n">
        <f aca="false">IF(E8=0,0,E16/E8)</f>
        <v>0.064939412383113</v>
      </c>
      <c r="F17" s="57" t="n">
        <f aca="false">IF(F8=0,0,F16/F8)</f>
        <v>0.0741494826536825</v>
      </c>
      <c r="G17" s="57" t="n">
        <f aca="false">IF(G8=0,0,G16/G8)</f>
        <v>0.0762721667283266</v>
      </c>
      <c r="H17" s="57" t="n">
        <f aca="false">IF(H8=0,0,H16/H8)</f>
        <v>0.0774836862647096</v>
      </c>
      <c r="I17" s="57" t="n">
        <f aca="false">IF(I8=0,0,I16/I8)</f>
        <v>0.0776565201121746</v>
      </c>
      <c r="J17" s="57" t="n">
        <f aca="false">IF(J8=0,0,J16/J8)</f>
        <v>0.0775149745432765</v>
      </c>
      <c r="K17" s="57" t="n">
        <f aca="false">IF(K8=0,0,K16/K8)</f>
        <v>0.0773427672955974</v>
      </c>
      <c r="L17" s="57" t="n">
        <f aca="false">IF(L8=0,0,L16/L8)</f>
        <v>0.0771657430619695</v>
      </c>
      <c r="M17" s="57" t="n">
        <f aca="false">IF(M8=0,0,M16/M8)</f>
        <v>0.0769836968642668</v>
      </c>
    </row>
    <row r="18" customFormat="false" ht="15" hidden="false" customHeight="false" outlineLevel="0" collapsed="false">
      <c r="B18" s="21" t="s">
        <v>182</v>
      </c>
      <c r="D18" s="38" t="n">
        <f aca="false">(Assumptions!D45)*Assumptions!D8</f>
        <v>0</v>
      </c>
      <c r="E18" s="38" t="n">
        <f aca="false">(Assumptions!E45)*Assumptions!E8</f>
        <v>209.88</v>
      </c>
      <c r="F18" s="38" t="n">
        <f aca="false">(Assumptions!F45)*Assumptions!F8</f>
        <v>477</v>
      </c>
      <c r="G18" s="38" t="n">
        <f aca="false">(Assumptions!G45)*Assumptions!G8</f>
        <v>572.4</v>
      </c>
      <c r="H18" s="38" t="n">
        <f aca="false">(Assumptions!H45)*Assumptions!H8</f>
        <v>486.54</v>
      </c>
      <c r="I18" s="38" t="n">
        <f aca="false">(Assumptions!I45)*Assumptions!I8</f>
        <v>339.624</v>
      </c>
      <c r="J18" s="38" t="n">
        <f aca="false">(Assumptions!J45)*Assumptions!J8</f>
        <v>171.72</v>
      </c>
      <c r="K18" s="38" t="n">
        <f aca="false">(Assumptions!K45)*Assumptions!K8</f>
        <v>0</v>
      </c>
      <c r="L18" s="38" t="n">
        <f aca="false">(Assumptions!L45)*Assumptions!L8</f>
        <v>0</v>
      </c>
      <c r="M18" s="38" t="n">
        <f aca="false">(Assumptions!M45)*Assumptions!M8</f>
        <v>0</v>
      </c>
    </row>
    <row r="19" customFormat="false" ht="15" hidden="false" customHeight="false" outlineLevel="0" collapsed="false">
      <c r="B19" s="55" t="s">
        <v>183</v>
      </c>
      <c r="D19" s="56" t="n">
        <f aca="false">D16+D18</f>
        <v>-13.34</v>
      </c>
      <c r="E19" s="56" t="n">
        <f aca="false">E16+E18</f>
        <v>256.826</v>
      </c>
      <c r="F19" s="56" t="n">
        <f aca="false">F16+F18</f>
        <v>598.8276</v>
      </c>
      <c r="G19" s="56" t="n">
        <f aca="false">G16+G18</f>
        <v>720.83784</v>
      </c>
      <c r="H19" s="56" t="n">
        <f aca="false">H16+H18</f>
        <v>655.207728</v>
      </c>
      <c r="I19" s="56" t="n">
        <f aca="false">I16+I18</f>
        <v>514.278608</v>
      </c>
      <c r="J19" s="56" t="n">
        <f aca="false">J16+J18</f>
        <v>345.64872</v>
      </c>
      <c r="K19" s="56" t="n">
        <f aca="false">K16+K18</f>
        <v>171.1812</v>
      </c>
      <c r="L19" s="56" t="n">
        <f aca="false">L16+L18</f>
        <v>168.43368</v>
      </c>
      <c r="M19" s="56" t="n">
        <f aca="false">M16+M18</f>
        <v>165.68616</v>
      </c>
    </row>
    <row r="21" customFormat="false" ht="15" hidden="false" customHeight="false" outlineLevel="0" collapsed="false">
      <c r="B21" s="32" t="s">
        <v>184</v>
      </c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</row>
    <row r="22" customFormat="false" ht="15" hidden="false" customHeight="false" outlineLevel="0" collapsed="false">
      <c r="B22" s="15" t="s">
        <v>170</v>
      </c>
      <c r="C22" s="16"/>
      <c r="D22" s="17" t="s">
        <v>13</v>
      </c>
      <c r="E22" s="17" t="s">
        <v>14</v>
      </c>
      <c r="F22" s="17" t="s">
        <v>15</v>
      </c>
      <c r="G22" s="17" t="s">
        <v>16</v>
      </c>
      <c r="H22" s="17" t="s">
        <v>17</v>
      </c>
      <c r="I22" s="17" t="s">
        <v>18</v>
      </c>
      <c r="J22" s="17" t="s">
        <v>19</v>
      </c>
      <c r="K22" s="17" t="s">
        <v>20</v>
      </c>
      <c r="L22" s="17" t="s">
        <v>21</v>
      </c>
      <c r="M22" s="17" t="s">
        <v>22</v>
      </c>
    </row>
    <row r="23" customFormat="false" ht="15" hidden="false" customHeight="false" outlineLevel="0" collapsed="false">
      <c r="B23" s="18" t="s">
        <v>185</v>
      </c>
      <c r="D23" s="38" t="n">
        <f aca="false">MAX(0,D16)</f>
        <v>0</v>
      </c>
      <c r="E23" s="38" t="n">
        <f aca="false">MAX(0,E16)</f>
        <v>46.9460000000001</v>
      </c>
      <c r="F23" s="38" t="n">
        <f aca="false">MAX(0,F16)</f>
        <v>121.8276</v>
      </c>
      <c r="G23" s="38" t="n">
        <f aca="false">MAX(0,G16)</f>
        <v>148.43784</v>
      </c>
      <c r="H23" s="38" t="n">
        <f aca="false">MAX(0,H16)</f>
        <v>168.667728</v>
      </c>
      <c r="I23" s="38" t="n">
        <f aca="false">MAX(0,I16)</f>
        <v>174.654608</v>
      </c>
      <c r="J23" s="38" t="n">
        <f aca="false">MAX(0,J16)</f>
        <v>173.92872</v>
      </c>
      <c r="K23" s="38" t="n">
        <f aca="false">MAX(0,K16)</f>
        <v>171.1812</v>
      </c>
      <c r="L23" s="38" t="n">
        <f aca="false">MAX(0,L16)</f>
        <v>168.43368</v>
      </c>
      <c r="M23" s="38" t="n">
        <f aca="false">MAX(0,M16)</f>
        <v>165.68616</v>
      </c>
    </row>
    <row r="24" customFormat="false" ht="15" hidden="false" customHeight="false" outlineLevel="0" collapsed="false">
      <c r="B24" s="21" t="s">
        <v>186</v>
      </c>
      <c r="D24" s="38" t="n">
        <f aca="false">Assumptions!$C$87</f>
        <v>4000</v>
      </c>
      <c r="E24" s="38" t="n">
        <f aca="false">D27</f>
        <v>4013.34</v>
      </c>
      <c r="F24" s="38" t="n">
        <f aca="false">E27</f>
        <v>3975.7832</v>
      </c>
      <c r="G24" s="38" t="n">
        <f aca="false">F27</f>
        <v>3878.32112</v>
      </c>
      <c r="H24" s="38" t="n">
        <f aca="false">G27</f>
        <v>3759.570848</v>
      </c>
      <c r="I24" s="38" t="n">
        <f aca="false">H27</f>
        <v>3624.6366656</v>
      </c>
      <c r="J24" s="38" t="n">
        <f aca="false">I27</f>
        <v>3484.9129792</v>
      </c>
      <c r="K24" s="38" t="n">
        <f aca="false">J27</f>
        <v>3345.7700032</v>
      </c>
      <c r="L24" s="38" t="n">
        <f aca="false">K27</f>
        <v>3208.8250432</v>
      </c>
      <c r="M24" s="38" t="n">
        <f aca="false">L27</f>
        <v>3074.0780992</v>
      </c>
    </row>
    <row r="25" customFormat="false" ht="15" hidden="false" customHeight="false" outlineLevel="0" collapsed="false">
      <c r="B25" s="21" t="s">
        <v>187</v>
      </c>
      <c r="D25" s="38" t="n">
        <f aca="false">MIN(D24,D23*Assumptions!$C$89)</f>
        <v>0</v>
      </c>
      <c r="E25" s="38" t="n">
        <f aca="false">MIN(E24,E23*Assumptions!$C$89)</f>
        <v>37.5568000000001</v>
      </c>
      <c r="F25" s="38" t="n">
        <f aca="false">MIN(F24,F23*Assumptions!$C$89)</f>
        <v>97.4620800000003</v>
      </c>
      <c r="G25" s="38" t="n">
        <f aca="false">MIN(G24,G23*Assumptions!$C$89)</f>
        <v>118.750272</v>
      </c>
      <c r="H25" s="38" t="n">
        <f aca="false">MIN(H24,H23*Assumptions!$C$89)</f>
        <v>134.9341824</v>
      </c>
      <c r="I25" s="38" t="n">
        <f aca="false">MIN(I24,I23*Assumptions!$C$89)</f>
        <v>139.7236864</v>
      </c>
      <c r="J25" s="38" t="n">
        <f aca="false">MIN(J24,J23*Assumptions!$C$89)</f>
        <v>139.142976</v>
      </c>
      <c r="K25" s="38" t="n">
        <f aca="false">MIN(K24,K23*Assumptions!$C$89)</f>
        <v>136.94496</v>
      </c>
      <c r="L25" s="38" t="n">
        <f aca="false">MIN(L24,L23*Assumptions!$C$89)</f>
        <v>134.746944</v>
      </c>
      <c r="M25" s="38" t="n">
        <f aca="false">MIN(M24,M23*Assumptions!$C$89)</f>
        <v>132.548928</v>
      </c>
    </row>
    <row r="26" customFormat="false" ht="15" hidden="false" customHeight="false" outlineLevel="0" collapsed="false">
      <c r="B26" s="21" t="s">
        <v>188</v>
      </c>
      <c r="D26" s="38" t="n">
        <f aca="false">MAX(0,-D16)</f>
        <v>13.34</v>
      </c>
      <c r="E26" s="38" t="n">
        <f aca="false">MAX(0,-E16)</f>
        <v>0</v>
      </c>
      <c r="F26" s="38" t="n">
        <f aca="false">MAX(0,-F16)</f>
        <v>0</v>
      </c>
      <c r="G26" s="38" t="n">
        <f aca="false">MAX(0,-G16)</f>
        <v>0</v>
      </c>
      <c r="H26" s="38" t="n">
        <f aca="false">MAX(0,-H16)</f>
        <v>0</v>
      </c>
      <c r="I26" s="38" t="n">
        <f aca="false">MAX(0,-I16)</f>
        <v>0</v>
      </c>
      <c r="J26" s="38" t="n">
        <f aca="false">MAX(0,-J16)</f>
        <v>0</v>
      </c>
      <c r="K26" s="38" t="n">
        <f aca="false">MAX(0,-K16)</f>
        <v>0</v>
      </c>
      <c r="L26" s="38" t="n">
        <f aca="false">MAX(0,-L16)</f>
        <v>0</v>
      </c>
      <c r="M26" s="38" t="n">
        <f aca="false">MAX(0,-M16)</f>
        <v>0</v>
      </c>
    </row>
    <row r="27" customFormat="false" ht="15" hidden="false" customHeight="false" outlineLevel="0" collapsed="false">
      <c r="B27" s="21" t="s">
        <v>189</v>
      </c>
      <c r="D27" s="38" t="n">
        <f aca="false">D24-D25+D26</f>
        <v>4013.34</v>
      </c>
      <c r="E27" s="38" t="n">
        <f aca="false">E24-E25+E26</f>
        <v>3975.7832</v>
      </c>
      <c r="F27" s="38" t="n">
        <f aca="false">F24-F25+F26</f>
        <v>3878.32112</v>
      </c>
      <c r="G27" s="38" t="n">
        <f aca="false">G24-G25+G26</f>
        <v>3759.570848</v>
      </c>
      <c r="H27" s="38" t="n">
        <f aca="false">H24-H25+H26</f>
        <v>3624.6366656</v>
      </c>
      <c r="I27" s="38" t="n">
        <f aca="false">I24-I25+I26</f>
        <v>3484.9129792</v>
      </c>
      <c r="J27" s="38" t="n">
        <f aca="false">J24-J25+J26</f>
        <v>3345.7700032</v>
      </c>
      <c r="K27" s="38" t="n">
        <f aca="false">K24-K25+K26</f>
        <v>3208.8250432</v>
      </c>
      <c r="L27" s="38" t="n">
        <f aca="false">L24-L25+L26</f>
        <v>3074.0780992</v>
      </c>
      <c r="M27" s="38" t="n">
        <f aca="false">M24-M25+M26</f>
        <v>2941.5291712</v>
      </c>
    </row>
    <row r="28" customFormat="false" ht="15" hidden="false" customHeight="false" outlineLevel="0" collapsed="false">
      <c r="B28" s="18" t="s">
        <v>190</v>
      </c>
      <c r="D28" s="38" t="n">
        <f aca="false">D23-D25</f>
        <v>0</v>
      </c>
      <c r="E28" s="38" t="n">
        <f aca="false">E23-E25</f>
        <v>9.38920000000002</v>
      </c>
      <c r="F28" s="38" t="n">
        <f aca="false">F23-F25</f>
        <v>24.3655200000001</v>
      </c>
      <c r="G28" s="38" t="n">
        <f aca="false">G23-G25</f>
        <v>29.687568</v>
      </c>
      <c r="H28" s="38" t="n">
        <f aca="false">H23-H25</f>
        <v>33.7335456</v>
      </c>
      <c r="I28" s="38" t="n">
        <f aca="false">I23-I25</f>
        <v>34.9309216</v>
      </c>
      <c r="J28" s="38" t="n">
        <f aca="false">J23-J25</f>
        <v>34.785744</v>
      </c>
      <c r="K28" s="38" t="n">
        <f aca="false">K23-K25</f>
        <v>34.23624</v>
      </c>
      <c r="L28" s="38" t="n">
        <f aca="false">L23-L25</f>
        <v>33.686736</v>
      </c>
      <c r="M28" s="38" t="n">
        <f aca="false">M23-M25</f>
        <v>33.1372319999999</v>
      </c>
    </row>
    <row r="29" customFormat="false" ht="15" hidden="false" customHeight="false" outlineLevel="0" collapsed="false">
      <c r="B29" s="18" t="s">
        <v>191</v>
      </c>
      <c r="D29" s="38" t="n">
        <f aca="false">-D28*Assumptions!$C$86</f>
        <v>-0</v>
      </c>
      <c r="E29" s="38" t="n">
        <f aca="false">-E28*Assumptions!$C$86</f>
        <v>-2.159516</v>
      </c>
      <c r="F29" s="38" t="n">
        <f aca="false">-F28*Assumptions!$C$86</f>
        <v>-5.60406960000001</v>
      </c>
      <c r="G29" s="38" t="n">
        <f aca="false">-G28*Assumptions!$C$86</f>
        <v>-6.82814064</v>
      </c>
      <c r="H29" s="38" t="n">
        <f aca="false">-H28*Assumptions!$C$86</f>
        <v>-7.758715488</v>
      </c>
      <c r="I29" s="38" t="n">
        <f aca="false">-I28*Assumptions!$C$86</f>
        <v>-8.034111968</v>
      </c>
      <c r="J29" s="38" t="n">
        <f aca="false">-J28*Assumptions!$C$86</f>
        <v>-8.00072112000001</v>
      </c>
      <c r="K29" s="38" t="n">
        <f aca="false">-K28*Assumptions!$C$86</f>
        <v>-7.87433519999999</v>
      </c>
      <c r="L29" s="38" t="n">
        <f aca="false">-L28*Assumptions!$C$86</f>
        <v>-7.74794928</v>
      </c>
      <c r="M29" s="38" t="n">
        <f aca="false">-M28*Assumptions!$C$86</f>
        <v>-7.62156335999998</v>
      </c>
    </row>
    <row r="30" customFormat="false" ht="15" hidden="false" customHeight="false" outlineLevel="0" collapsed="false">
      <c r="B30" s="55" t="s">
        <v>192</v>
      </c>
      <c r="D30" s="56" t="n">
        <f aca="false">D19+D29</f>
        <v>-13.34</v>
      </c>
      <c r="E30" s="56" t="n">
        <f aca="false">E19+E29</f>
        <v>254.666484</v>
      </c>
      <c r="F30" s="56" t="n">
        <f aca="false">F19+F29</f>
        <v>593.2235304</v>
      </c>
      <c r="G30" s="56" t="n">
        <f aca="false">G19+G29</f>
        <v>714.00969936</v>
      </c>
      <c r="H30" s="56" t="n">
        <f aca="false">H19+H29</f>
        <v>647.449012512</v>
      </c>
      <c r="I30" s="56" t="n">
        <f aca="false">I19+I29</f>
        <v>506.244496032</v>
      </c>
      <c r="J30" s="56" t="n">
        <f aca="false">J19+J29</f>
        <v>337.64799888</v>
      </c>
      <c r="K30" s="56" t="n">
        <f aca="false">K19+K29</f>
        <v>163.3068648</v>
      </c>
      <c r="L30" s="56" t="n">
        <f aca="false">L19+L29</f>
        <v>160.68573072</v>
      </c>
      <c r="M30" s="56" t="n">
        <f aca="false">M19+M29</f>
        <v>158.06459664</v>
      </c>
    </row>
    <row r="31" customFormat="false" ht="15" hidden="false" customHeight="false" outlineLevel="0" collapsed="false">
      <c r="B31" s="21" t="s">
        <v>193</v>
      </c>
      <c r="D31" s="38" t="n">
        <f aca="false">-D15</f>
        <v>13.34</v>
      </c>
      <c r="E31" s="38" t="n">
        <f aca="false">-E15</f>
        <v>25.346</v>
      </c>
      <c r="F31" s="38" t="n">
        <f aca="false">-F15</f>
        <v>28.014</v>
      </c>
      <c r="G31" s="38" t="n">
        <f aca="false">-G15</f>
        <v>28.014</v>
      </c>
      <c r="H31" s="38" t="n">
        <f aca="false">-H15</f>
        <v>28.014</v>
      </c>
      <c r="I31" s="38" t="n">
        <f aca="false">-I15</f>
        <v>28.014</v>
      </c>
      <c r="J31" s="38" t="n">
        <f aca="false">-J15</f>
        <v>28.014</v>
      </c>
      <c r="K31" s="38" t="n">
        <f aca="false">-K15</f>
        <v>28.014</v>
      </c>
      <c r="L31" s="38" t="n">
        <f aca="false">-L15</f>
        <v>28.014</v>
      </c>
      <c r="M31" s="38" t="n">
        <f aca="false">-M15</f>
        <v>28.014</v>
      </c>
    </row>
    <row r="32" customFormat="false" ht="15" hidden="false" customHeight="false" outlineLevel="0" collapsed="false">
      <c r="B32" s="21" t="s">
        <v>194</v>
      </c>
      <c r="D32" s="38" t="n">
        <f aca="false">-D8*Assumptions!$C$83</f>
        <v>-0</v>
      </c>
      <c r="E32" s="38" t="n">
        <f aca="false">-E8*Assumptions!$C$83</f>
        <v>-21.6876</v>
      </c>
      <c r="F32" s="38" t="n">
        <f aca="false">-F8*Assumptions!$C$83</f>
        <v>-49.29</v>
      </c>
      <c r="G32" s="38" t="n">
        <f aca="false">-G8*Assumptions!$C$83</f>
        <v>-58.3848</v>
      </c>
      <c r="H32" s="38" t="n">
        <f aca="false">-H8*Assumptions!$C$83</f>
        <v>-65.30448</v>
      </c>
      <c r="I32" s="38" t="n">
        <f aca="false">-I8*Assumptions!$C$83</f>
        <v>-67.471968</v>
      </c>
      <c r="J32" s="38" t="n">
        <f aca="false">-J8*Assumptions!$C$83</f>
        <v>-67.31424</v>
      </c>
      <c r="K32" s="38" t="n">
        <f aca="false">-K8*Assumptions!$C$83</f>
        <v>-66.3984</v>
      </c>
      <c r="L32" s="38" t="n">
        <f aca="false">-L8*Assumptions!$C$83</f>
        <v>-65.48256</v>
      </c>
      <c r="M32" s="38" t="n">
        <f aca="false">-M8*Assumptions!$C$83</f>
        <v>-64.56672</v>
      </c>
    </row>
    <row r="33" customFormat="false" ht="15" hidden="false" customHeight="false" outlineLevel="0" collapsed="false">
      <c r="B33" s="21" t="s">
        <v>195</v>
      </c>
      <c r="D33" s="38" t="n">
        <f aca="false">-Assumptions!D53</f>
        <v>-200</v>
      </c>
      <c r="E33" s="38" t="n">
        <f aca="false">-Assumptions!E53</f>
        <v>-180</v>
      </c>
      <c r="F33" s="38" t="n">
        <f aca="false">-Assumptions!F53</f>
        <v>-40</v>
      </c>
      <c r="G33" s="38" t="n">
        <f aca="false">-Assumptions!G53</f>
        <v>-0</v>
      </c>
      <c r="H33" s="38" t="n">
        <f aca="false">-Assumptions!H53</f>
        <v>-0</v>
      </c>
      <c r="I33" s="38" t="n">
        <f aca="false">-Assumptions!I53</f>
        <v>-0</v>
      </c>
      <c r="J33" s="38" t="n">
        <f aca="false">-Assumptions!J53</f>
        <v>-0</v>
      </c>
      <c r="K33" s="38" t="n">
        <f aca="false">-Assumptions!K53</f>
        <v>-0</v>
      </c>
      <c r="L33" s="38" t="n">
        <f aca="false">-Assumptions!L53</f>
        <v>-0</v>
      </c>
      <c r="M33" s="38" t="n">
        <f aca="false">-Assumptions!M53</f>
        <v>-0</v>
      </c>
    </row>
    <row r="34" customFormat="false" ht="15" hidden="false" customHeight="false" outlineLevel="0" collapsed="false">
      <c r="B34" s="21" t="s">
        <v>196</v>
      </c>
      <c r="D34" s="38" t="n">
        <f aca="false">Assumptions!D53*Assumptions!$C$84</f>
        <v>20</v>
      </c>
      <c r="E34" s="38" t="n">
        <f aca="false">Assumptions!E53*Assumptions!$C$84</f>
        <v>18</v>
      </c>
      <c r="F34" s="38" t="n">
        <f aca="false">Assumptions!F53*Assumptions!$C$84</f>
        <v>4</v>
      </c>
      <c r="G34" s="38" t="n">
        <f aca="false">Assumptions!G53*Assumptions!$C$84</f>
        <v>0</v>
      </c>
      <c r="H34" s="38" t="n">
        <f aca="false">Assumptions!H53*Assumptions!$C$84</f>
        <v>0</v>
      </c>
      <c r="I34" s="38" t="n">
        <f aca="false">Assumptions!I53*Assumptions!$C$84</f>
        <v>0</v>
      </c>
      <c r="J34" s="38" t="n">
        <f aca="false">Assumptions!J53*Assumptions!$C$84</f>
        <v>0</v>
      </c>
      <c r="K34" s="38" t="n">
        <f aca="false">Assumptions!K53*Assumptions!$C$84</f>
        <v>0</v>
      </c>
      <c r="L34" s="38" t="n">
        <f aca="false">Assumptions!L53*Assumptions!$C$84</f>
        <v>0</v>
      </c>
      <c r="M34" s="38" t="n">
        <f aca="false">Assumptions!M53*Assumptions!$C$84</f>
        <v>0</v>
      </c>
    </row>
    <row r="35" customFormat="false" ht="15" hidden="false" customHeight="false" outlineLevel="0" collapsed="false">
      <c r="B35" s="21" t="s">
        <v>197</v>
      </c>
      <c r="D35" s="38" t="n">
        <f aca="false">D8*Assumptions!$C$85</f>
        <v>0</v>
      </c>
      <c r="E35" s="38" t="n">
        <f aca="false">E8*Assumptions!$C$85</f>
        <v>108.438</v>
      </c>
      <c r="F35" s="38" t="n">
        <f aca="false">F8*Assumptions!$C$85</f>
        <v>246.45</v>
      </c>
      <c r="G35" s="38" t="n">
        <f aca="false">G8*Assumptions!$C$85</f>
        <v>291.924</v>
      </c>
      <c r="H35" s="38" t="n">
        <f aca="false">H8*Assumptions!$C$85</f>
        <v>326.5224</v>
      </c>
      <c r="I35" s="38" t="n">
        <f aca="false">I8*Assumptions!$C$85</f>
        <v>337.35984</v>
      </c>
      <c r="J35" s="38" t="n">
        <f aca="false">J8*Assumptions!$C$85</f>
        <v>336.5712</v>
      </c>
      <c r="K35" s="38" t="n">
        <f aca="false">K8*Assumptions!$C$85</f>
        <v>331.992</v>
      </c>
      <c r="L35" s="38" t="n">
        <f aca="false">L8*Assumptions!$C$85</f>
        <v>327.4128</v>
      </c>
      <c r="M35" s="38" t="n">
        <f aca="false">M8*Assumptions!$C$85</f>
        <v>322.8336</v>
      </c>
    </row>
    <row r="36" customFormat="false" ht="15" hidden="false" customHeight="false" outlineLevel="0" collapsed="false">
      <c r="B36" s="21" t="s">
        <v>198</v>
      </c>
      <c r="D36" s="38" t="n">
        <f aca="false">-D35</f>
        <v>-0</v>
      </c>
      <c r="E36" s="38" t="n">
        <f aca="false">-(E35-D35)</f>
        <v>-108.438</v>
      </c>
      <c r="F36" s="38" t="n">
        <f aca="false">-(F35-E35)</f>
        <v>-138.012</v>
      </c>
      <c r="G36" s="38" t="n">
        <f aca="false">-(G35-F35)</f>
        <v>-45.474</v>
      </c>
      <c r="H36" s="38" t="n">
        <f aca="false">-(H35-G35)</f>
        <v>-34.5984</v>
      </c>
      <c r="I36" s="38" t="n">
        <f aca="false">-(I35-H35)</f>
        <v>-10.83744</v>
      </c>
      <c r="J36" s="38" t="n">
        <f aca="false">-(J35-I35)</f>
        <v>0.788639999999987</v>
      </c>
      <c r="K36" s="38" t="n">
        <f aca="false">-(K35-J35)</f>
        <v>4.57920000000001</v>
      </c>
      <c r="L36" s="38" t="n">
        <f aca="false">-(L35-K35)</f>
        <v>4.57919999999996</v>
      </c>
      <c r="M36" s="38" t="n">
        <f aca="false">-(M35-L35)</f>
        <v>4.57920000000007</v>
      </c>
    </row>
    <row r="37" customFormat="false" ht="15" hidden="false" customHeight="false" outlineLevel="0" collapsed="false">
      <c r="B37" s="58" t="s">
        <v>199</v>
      </c>
      <c r="D37" s="59" t="n">
        <f aca="false">D30+D31+D32+D33+D34+D36</f>
        <v>-180</v>
      </c>
      <c r="E37" s="59" t="n">
        <f aca="false">E30+E31+E32+E33+E34+E36</f>
        <v>-12.1131159999998</v>
      </c>
      <c r="F37" s="59" t="n">
        <f aca="false">F30+F31+F32+F33+F34+F36</f>
        <v>397.9355304</v>
      </c>
      <c r="G37" s="59" t="n">
        <f aca="false">G30+G31+G32+G33+G34+G36</f>
        <v>638.16489936</v>
      </c>
      <c r="H37" s="59" t="n">
        <f aca="false">H30+H31+H32+H33+H34+H36</f>
        <v>575.560132512</v>
      </c>
      <c r="I37" s="59" t="n">
        <f aca="false">I30+I31+I32+I33+I34+I36</f>
        <v>455.949088032</v>
      </c>
      <c r="J37" s="59" t="n">
        <f aca="false">J30+J31+J32+J33+J34+J36</f>
        <v>299.13639888</v>
      </c>
      <c r="K37" s="59" t="n">
        <f aca="false">K30+K31+K32+K33+K34+K36</f>
        <v>129.5016648</v>
      </c>
      <c r="L37" s="59" t="n">
        <f aca="false">L30+L31+L32+L33+L34+L36</f>
        <v>127.79637072</v>
      </c>
      <c r="M37" s="59" t="n">
        <f aca="false">M30+M31+M32+M33+M34+M36</f>
        <v>126.09107664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3" min="3" style="0" width="11"/>
    <col collapsed="false" customWidth="true" hidden="false" outlineLevel="0" max="13" min="4" style="0" width="9.5"/>
  </cols>
  <sheetData>
    <row r="1" customFormat="false" ht="19.4" hidden="false" customHeight="false" outlineLevel="0" collapsed="false">
      <c r="B1" s="52" t="s">
        <v>200</v>
      </c>
    </row>
    <row r="2" customFormat="false" ht="15" hidden="false" customHeight="false" outlineLevel="0" collapsed="false">
      <c r="B2" s="53" t="s">
        <v>201</v>
      </c>
    </row>
    <row r="4" customFormat="false" ht="15" hidden="false" customHeight="false" outlineLevel="0" collapsed="false">
      <c r="B4" s="12" t="s">
        <v>202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</row>
    <row r="5" customFormat="false" ht="15" hidden="false" customHeight="false" outlineLevel="0" collapsed="false">
      <c r="B5" s="15" t="s">
        <v>170</v>
      </c>
      <c r="C5" s="16"/>
      <c r="D5" s="17" t="s">
        <v>13</v>
      </c>
      <c r="E5" s="17" t="s">
        <v>14</v>
      </c>
      <c r="F5" s="17" t="s">
        <v>15</v>
      </c>
      <c r="G5" s="17" t="s">
        <v>16</v>
      </c>
      <c r="H5" s="17" t="s">
        <v>17</v>
      </c>
      <c r="I5" s="17" t="s">
        <v>18</v>
      </c>
      <c r="J5" s="17" t="s">
        <v>19</v>
      </c>
      <c r="K5" s="17" t="s">
        <v>20</v>
      </c>
      <c r="L5" s="17" t="s">
        <v>21</v>
      </c>
      <c r="M5" s="17" t="s">
        <v>22</v>
      </c>
    </row>
    <row r="6" customFormat="false" ht="15" hidden="false" customHeight="false" outlineLevel="0" collapsed="false">
      <c r="B6" s="18" t="s">
        <v>203</v>
      </c>
      <c r="D6" s="60" t="n">
        <f aca="false">Assumptions!D69*Assumptions!D72</f>
        <v>0</v>
      </c>
      <c r="E6" s="60" t="n">
        <f aca="false">Assumptions!E69*Assumptions!E72</f>
        <v>0</v>
      </c>
      <c r="F6" s="60" t="n">
        <f aca="false">Assumptions!F69*Assumptions!F72</f>
        <v>1124.928</v>
      </c>
      <c r="G6" s="60" t="n">
        <f aca="false">Assumptions!G69*Assumptions!G72</f>
        <v>1744.9344</v>
      </c>
      <c r="H6" s="60" t="n">
        <f aca="false">Assumptions!H69*Assumptions!H72</f>
        <v>2191.7952</v>
      </c>
      <c r="I6" s="60" t="n">
        <f aca="false">Assumptions!I69*Assumptions!I72</f>
        <v>2471.7312</v>
      </c>
      <c r="J6" s="60" t="n">
        <f aca="false">Assumptions!J69*Assumptions!J72</f>
        <v>2590.9632</v>
      </c>
      <c r="K6" s="60" t="n">
        <f aca="false">Assumptions!K69*Assumptions!K72</f>
        <v>2555.712</v>
      </c>
      <c r="L6" s="60" t="n">
        <f aca="false">Assumptions!L69*Assumptions!L72</f>
        <v>2520.4608</v>
      </c>
      <c r="M6" s="60" t="n">
        <f aca="false">Assumptions!M69*Assumptions!M72</f>
        <v>2485.2096</v>
      </c>
    </row>
    <row r="7" customFormat="false" ht="15" hidden="false" customHeight="false" outlineLevel="0" collapsed="false">
      <c r="B7" s="18" t="s">
        <v>204</v>
      </c>
      <c r="D7" s="60" t="n">
        <f aca="false">Assumptions!D70*Assumptions!D75</f>
        <v>0</v>
      </c>
      <c r="E7" s="60" t="n">
        <f aca="false">Assumptions!E70*Assumptions!E75</f>
        <v>0</v>
      </c>
      <c r="F7" s="60" t="n">
        <f aca="false">Assumptions!F70*Assumptions!F75</f>
        <v>117.18</v>
      </c>
      <c r="G7" s="60" t="n">
        <f aca="false">Assumptions!G70*Assumptions!G75</f>
        <v>181.764</v>
      </c>
      <c r="H7" s="60" t="n">
        <f aca="false">Assumptions!H70*Assumptions!H75</f>
        <v>228.312</v>
      </c>
      <c r="I7" s="60" t="n">
        <f aca="false">Assumptions!I70*Assumptions!I75</f>
        <v>257.472</v>
      </c>
      <c r="J7" s="60" t="n">
        <f aca="false">Assumptions!J70*Assumptions!J75</f>
        <v>269.892</v>
      </c>
      <c r="K7" s="60" t="n">
        <f aca="false">Assumptions!K70*Assumptions!K75</f>
        <v>266.22</v>
      </c>
      <c r="L7" s="60" t="n">
        <f aca="false">Assumptions!L70*Assumptions!L75</f>
        <v>262.548</v>
      </c>
      <c r="M7" s="60" t="n">
        <f aca="false">Assumptions!M70*Assumptions!M75</f>
        <v>258.876</v>
      </c>
    </row>
    <row r="8" customFormat="false" ht="15" hidden="false" customHeight="false" outlineLevel="0" collapsed="false">
      <c r="B8" s="55" t="s">
        <v>205</v>
      </c>
      <c r="D8" s="56" t="n">
        <f aca="false">D6+D7</f>
        <v>0</v>
      </c>
      <c r="E8" s="56" t="n">
        <f aca="false">E6+E7</f>
        <v>0</v>
      </c>
      <c r="F8" s="56" t="n">
        <f aca="false">F6+F7</f>
        <v>1242.108</v>
      </c>
      <c r="G8" s="56" t="n">
        <f aca="false">G6+G7</f>
        <v>1926.6984</v>
      </c>
      <c r="H8" s="56" t="n">
        <f aca="false">H6+H7</f>
        <v>2420.1072</v>
      </c>
      <c r="I8" s="56" t="n">
        <f aca="false">I6+I7</f>
        <v>2729.2032</v>
      </c>
      <c r="J8" s="56" t="n">
        <f aca="false">J6+J7</f>
        <v>2860.8552</v>
      </c>
      <c r="K8" s="56" t="n">
        <f aca="false">K6+K7</f>
        <v>2821.932</v>
      </c>
      <c r="L8" s="56" t="n">
        <f aca="false">L6+L7</f>
        <v>2783.0088</v>
      </c>
      <c r="M8" s="56" t="n">
        <f aca="false">M6+M7</f>
        <v>2744.0856</v>
      </c>
    </row>
    <row r="9" customFormat="false" ht="15" hidden="false" customHeight="false" outlineLevel="0" collapsed="false">
      <c r="B9" s="21" t="s">
        <v>206</v>
      </c>
      <c r="D9" s="38" t="n">
        <f aca="false">-(Assumptions!D69*Assumptions!D74+Assumptions!D70*Assumptions!D77)</f>
        <v>-0</v>
      </c>
      <c r="E9" s="38" t="n">
        <f aca="false">-(Assumptions!E69*Assumptions!E74+Assumptions!E70*Assumptions!E77)</f>
        <v>-0</v>
      </c>
      <c r="F9" s="38" t="n">
        <f aca="false">-(Assumptions!F69*Assumptions!F74+Assumptions!F70*Assumptions!F77)</f>
        <v>-1055.7918</v>
      </c>
      <c r="G9" s="38" t="n">
        <f aca="false">-(Assumptions!G69*Assumptions!G74+Assumptions!G70*Assumptions!G77)</f>
        <v>-1637.69364</v>
      </c>
      <c r="H9" s="38" t="n">
        <f aca="false">-(Assumptions!H69*Assumptions!H74+Assumptions!H70*Assumptions!H77)</f>
        <v>-2057.09112</v>
      </c>
      <c r="I9" s="38" t="n">
        <f aca="false">-(Assumptions!I69*Assumptions!I74+Assumptions!I70*Assumptions!I77)</f>
        <v>-2319.82272</v>
      </c>
      <c r="J9" s="38" t="n">
        <f aca="false">-(Assumptions!J69*Assumptions!J74+Assumptions!J70*Assumptions!J77)</f>
        <v>-2431.72692</v>
      </c>
      <c r="K9" s="38" t="n">
        <f aca="false">-(Assumptions!K69*Assumptions!K74+Assumptions!K70*Assumptions!K77)</f>
        <v>-2398.6422</v>
      </c>
      <c r="L9" s="38" t="n">
        <f aca="false">-(Assumptions!L69*Assumptions!L74+Assumptions!L70*Assumptions!L77)</f>
        <v>-2365.55748</v>
      </c>
      <c r="M9" s="38" t="n">
        <f aca="false">-(Assumptions!M69*Assumptions!M74+Assumptions!M70*Assumptions!M77)</f>
        <v>-2332.47276</v>
      </c>
    </row>
    <row r="10" customFormat="false" ht="15" hidden="false" customHeight="false" outlineLevel="0" collapsed="false">
      <c r="B10" s="12" t="s">
        <v>175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</row>
    <row r="11" customFormat="false" ht="15" hidden="false" customHeight="false" outlineLevel="0" collapsed="false">
      <c r="B11" s="15" t="s">
        <v>170</v>
      </c>
      <c r="C11" s="16"/>
      <c r="D11" s="17" t="s">
        <v>13</v>
      </c>
      <c r="E11" s="17" t="s">
        <v>14</v>
      </c>
      <c r="F11" s="17" t="s">
        <v>15</v>
      </c>
      <c r="G11" s="17" t="s">
        <v>16</v>
      </c>
      <c r="H11" s="17" t="s">
        <v>17</v>
      </c>
      <c r="I11" s="17" t="s">
        <v>18</v>
      </c>
      <c r="J11" s="17" t="s">
        <v>19</v>
      </c>
      <c r="K11" s="17" t="s">
        <v>20</v>
      </c>
      <c r="L11" s="17" t="s">
        <v>21</v>
      </c>
      <c r="M11" s="17" t="s">
        <v>22</v>
      </c>
    </row>
    <row r="12" customFormat="false" ht="15" hidden="false" customHeight="false" outlineLevel="0" collapsed="false">
      <c r="B12" s="55" t="s">
        <v>176</v>
      </c>
      <c r="D12" s="56" t="n">
        <f aca="false">D8+D9</f>
        <v>0</v>
      </c>
      <c r="E12" s="56" t="n">
        <f aca="false">E8+E9</f>
        <v>0</v>
      </c>
      <c r="F12" s="56" t="n">
        <f aca="false">F8+F9</f>
        <v>186.3162</v>
      </c>
      <c r="G12" s="56" t="n">
        <f aca="false">G8+G9</f>
        <v>289.00476</v>
      </c>
      <c r="H12" s="56" t="n">
        <f aca="false">H8+H9</f>
        <v>363.01608</v>
      </c>
      <c r="I12" s="56" t="n">
        <f aca="false">I8+I9</f>
        <v>409.38048</v>
      </c>
      <c r="J12" s="56" t="n">
        <f aca="false">J8+J9</f>
        <v>429.12828</v>
      </c>
      <c r="K12" s="56" t="n">
        <f aca="false">K8+K9</f>
        <v>423.2898</v>
      </c>
      <c r="L12" s="56" t="n">
        <f aca="false">L8+L9</f>
        <v>417.451319999999</v>
      </c>
      <c r="M12" s="56" t="n">
        <f aca="false">M8+M9</f>
        <v>411.61284</v>
      </c>
    </row>
    <row r="13" customFormat="false" ht="15" hidden="false" customHeight="false" outlineLevel="0" collapsed="false">
      <c r="B13" s="21" t="s">
        <v>177</v>
      </c>
      <c r="D13" s="38" t="n">
        <f aca="false">-D8*Assumptions!$C$81</f>
        <v>-0</v>
      </c>
      <c r="E13" s="38" t="n">
        <f aca="false">-E8*Assumptions!$C$81</f>
        <v>-0</v>
      </c>
      <c r="F13" s="38" t="n">
        <f aca="false">-F8*Assumptions!$C$81</f>
        <v>-74.52648</v>
      </c>
      <c r="G13" s="38" t="n">
        <f aca="false">-G8*Assumptions!$C$81</f>
        <v>-115.601904</v>
      </c>
      <c r="H13" s="38" t="n">
        <f aca="false">-H8*Assumptions!$C$81</f>
        <v>-145.206432</v>
      </c>
      <c r="I13" s="38" t="n">
        <f aca="false">-I8*Assumptions!$C$81</f>
        <v>-163.752192</v>
      </c>
      <c r="J13" s="38" t="n">
        <f aca="false">-J8*Assumptions!$C$81</f>
        <v>-171.651312</v>
      </c>
      <c r="K13" s="38" t="n">
        <f aca="false">-K8*Assumptions!$C$81</f>
        <v>-169.31592</v>
      </c>
      <c r="L13" s="38" t="n">
        <f aca="false">-L8*Assumptions!$C$81</f>
        <v>-166.980528</v>
      </c>
      <c r="M13" s="38" t="n">
        <f aca="false">-M8*Assumptions!$C$81</f>
        <v>-164.645136</v>
      </c>
    </row>
    <row r="14" customFormat="false" ht="15" hidden="false" customHeight="false" outlineLevel="0" collapsed="false">
      <c r="B14" s="21" t="s">
        <v>178</v>
      </c>
      <c r="D14" s="38" t="n">
        <f aca="false">Assumptions!D78</f>
        <v>200</v>
      </c>
      <c r="E14" s="38" t="n">
        <f aca="false">D14+Assumptions!E78</f>
        <v>700</v>
      </c>
      <c r="F14" s="38" t="n">
        <f aca="false">E14+Assumptions!F78</f>
        <v>1000</v>
      </c>
      <c r="G14" s="38" t="n">
        <f aca="false">F14+Assumptions!G78</f>
        <v>1000</v>
      </c>
      <c r="H14" s="38" t="n">
        <f aca="false">G14+Assumptions!H78</f>
        <v>1000</v>
      </c>
      <c r="I14" s="38" t="n">
        <f aca="false">H14+Assumptions!I78</f>
        <v>1000</v>
      </c>
      <c r="J14" s="38" t="n">
        <f aca="false">I14+Assumptions!J78</f>
        <v>1000</v>
      </c>
      <c r="K14" s="38" t="n">
        <f aca="false">J14+Assumptions!K78</f>
        <v>1000</v>
      </c>
      <c r="L14" s="38" t="n">
        <f aca="false">K14+Assumptions!L78</f>
        <v>1000</v>
      </c>
      <c r="M14" s="38" t="n">
        <f aca="false">L14+Assumptions!M78</f>
        <v>1000</v>
      </c>
    </row>
    <row r="15" customFormat="false" ht="15" hidden="false" customHeight="false" outlineLevel="0" collapsed="false">
      <c r="B15" s="21" t="s">
        <v>179</v>
      </c>
      <c r="D15" s="38" t="n">
        <f aca="false">-D14*Assumptions!$C$82</f>
        <v>-13.34</v>
      </c>
      <c r="E15" s="38" t="n">
        <f aca="false">-E14*Assumptions!$C$82</f>
        <v>-46.69</v>
      </c>
      <c r="F15" s="38" t="n">
        <f aca="false">-F14*Assumptions!$C$82</f>
        <v>-66.7</v>
      </c>
      <c r="G15" s="38" t="n">
        <f aca="false">-G14*Assumptions!$C$82</f>
        <v>-66.7</v>
      </c>
      <c r="H15" s="38" t="n">
        <f aca="false">-H14*Assumptions!$C$82</f>
        <v>-66.7</v>
      </c>
      <c r="I15" s="38" t="n">
        <f aca="false">-I14*Assumptions!$C$82</f>
        <v>-66.7</v>
      </c>
      <c r="J15" s="38" t="n">
        <f aca="false">-J14*Assumptions!$C$82</f>
        <v>-66.7</v>
      </c>
      <c r="K15" s="38" t="n">
        <f aca="false">-K14*Assumptions!$C$82</f>
        <v>-66.7</v>
      </c>
      <c r="L15" s="38" t="n">
        <f aca="false">-L14*Assumptions!$C$82</f>
        <v>-66.7</v>
      </c>
      <c r="M15" s="38" t="n">
        <f aca="false">-M14*Assumptions!$C$82</f>
        <v>-66.7</v>
      </c>
    </row>
    <row r="16" customFormat="false" ht="15" hidden="false" customHeight="false" outlineLevel="0" collapsed="false">
      <c r="B16" s="55" t="s">
        <v>180</v>
      </c>
      <c r="D16" s="56" t="n">
        <f aca="false">D12+D13+D15</f>
        <v>-13.34</v>
      </c>
      <c r="E16" s="56" t="n">
        <f aca="false">E12+E13+E15</f>
        <v>-46.69</v>
      </c>
      <c r="F16" s="56" t="n">
        <f aca="false">F12+F13+F15</f>
        <v>45.0897200000002</v>
      </c>
      <c r="G16" s="56" t="n">
        <f aca="false">G12+G13+G15</f>
        <v>106.702856</v>
      </c>
      <c r="H16" s="56" t="n">
        <f aca="false">H12+H13+H15</f>
        <v>151.109648</v>
      </c>
      <c r="I16" s="56" t="n">
        <f aca="false">I12+I13+I15</f>
        <v>178.928288</v>
      </c>
      <c r="J16" s="56" t="n">
        <f aca="false">J12+J13+J15</f>
        <v>190.776968</v>
      </c>
      <c r="K16" s="56" t="n">
        <f aca="false">K12+K13+K15</f>
        <v>187.27388</v>
      </c>
      <c r="L16" s="56" t="n">
        <f aca="false">L12+L13+L15</f>
        <v>183.770791999999</v>
      </c>
      <c r="M16" s="56" t="n">
        <f aca="false">M12+M13+M15</f>
        <v>180.267704</v>
      </c>
    </row>
    <row r="17" customFormat="false" ht="15" hidden="false" customHeight="false" outlineLevel="0" collapsed="false">
      <c r="B17" s="21" t="s">
        <v>181</v>
      </c>
      <c r="D17" s="57" t="n">
        <f aca="false">IF(D8=0,0,D16/D8)</f>
        <v>0</v>
      </c>
      <c r="E17" s="57" t="n">
        <f aca="false">IF(E8=0,0,E16/E8)</f>
        <v>0</v>
      </c>
      <c r="F17" s="57" t="n">
        <f aca="false">IF(F8=0,0,F16/F8)</f>
        <v>0.0363009657775332</v>
      </c>
      <c r="G17" s="57" t="n">
        <f aca="false">IF(G8=0,0,G16/G8)</f>
        <v>0.0553811930294851</v>
      </c>
      <c r="H17" s="57" t="n">
        <f aca="false">IF(H8=0,0,H16/H8)</f>
        <v>0.0624392374023762</v>
      </c>
      <c r="I17" s="57" t="n">
        <f aca="false">IF(I8=0,0,I16/I8)</f>
        <v>0.065560632495228</v>
      </c>
      <c r="J17" s="57" t="n">
        <f aca="false">IF(J8=0,0,J16/J8)</f>
        <v>0.0666852932647554</v>
      </c>
      <c r="K17" s="57" t="n">
        <f aca="false">IF(K8=0,0,K16/K8)</f>
        <v>0.0663637111028898</v>
      </c>
      <c r="L17" s="57" t="n">
        <f aca="false">IF(L8=0,0,L16/L8)</f>
        <v>0.0660331336357971</v>
      </c>
      <c r="M17" s="57" t="n">
        <f aca="false">IF(M8=0,0,M16/M8)</f>
        <v>0.0656931780845322</v>
      </c>
    </row>
    <row r="18" customFormat="false" ht="15" hidden="false" customHeight="false" outlineLevel="0" collapsed="false">
      <c r="B18" s="21" t="s">
        <v>182</v>
      </c>
      <c r="D18" s="38" t="n">
        <f aca="false">(Assumptions!D69+Assumptions!D70)*Assumptions!D8</f>
        <v>0</v>
      </c>
      <c r="E18" s="38" t="n">
        <f aca="false">(Assumptions!E69+Assumptions!E70)*Assumptions!E8</f>
        <v>0</v>
      </c>
      <c r="F18" s="38" t="n">
        <f aca="false">(Assumptions!F69+Assumptions!F70)*Assumptions!F8</f>
        <v>374.22</v>
      </c>
      <c r="G18" s="38" t="n">
        <f aca="false">(Assumptions!G69+Assumptions!G70)*Assumptions!G8</f>
        <v>588.06</v>
      </c>
      <c r="H18" s="38" t="n">
        <f aca="false">(Assumptions!H69+Assumptions!H70)*Assumptions!H8</f>
        <v>561.33</v>
      </c>
      <c r="I18" s="38" t="n">
        <f aca="false">(Assumptions!I69+Assumptions!I70)*Assumptions!I8</f>
        <v>427.68</v>
      </c>
      <c r="J18" s="38" t="n">
        <f aca="false">(Assumptions!J69+Assumptions!J70)*Assumptions!J8</f>
        <v>227.205</v>
      </c>
      <c r="K18" s="38" t="n">
        <f aca="false">(Assumptions!K69+Assumptions!K70)*Assumptions!K8</f>
        <v>0</v>
      </c>
      <c r="L18" s="38" t="n">
        <f aca="false">(Assumptions!L69+Assumptions!L70)*Assumptions!L8</f>
        <v>0</v>
      </c>
      <c r="M18" s="38" t="n">
        <f aca="false">(Assumptions!M69+Assumptions!M70)*Assumptions!M8</f>
        <v>0</v>
      </c>
    </row>
    <row r="19" customFormat="false" ht="15" hidden="false" customHeight="false" outlineLevel="0" collapsed="false">
      <c r="B19" s="55" t="s">
        <v>183</v>
      </c>
      <c r="D19" s="56" t="n">
        <f aca="false">D16+D18</f>
        <v>-13.34</v>
      </c>
      <c r="E19" s="56" t="n">
        <f aca="false">E16+E18</f>
        <v>-46.69</v>
      </c>
      <c r="F19" s="56" t="n">
        <f aca="false">F16+F18</f>
        <v>419.30972</v>
      </c>
      <c r="G19" s="56" t="n">
        <f aca="false">G16+G18</f>
        <v>694.762856</v>
      </c>
      <c r="H19" s="56" t="n">
        <f aca="false">H16+H18</f>
        <v>712.439648</v>
      </c>
      <c r="I19" s="56" t="n">
        <f aca="false">I16+I18</f>
        <v>606.608288</v>
      </c>
      <c r="J19" s="56" t="n">
        <f aca="false">J16+J18</f>
        <v>417.981968</v>
      </c>
      <c r="K19" s="56" t="n">
        <f aca="false">K16+K18</f>
        <v>187.27388</v>
      </c>
      <c r="L19" s="56" t="n">
        <f aca="false">L16+L18</f>
        <v>183.770791999999</v>
      </c>
      <c r="M19" s="56" t="n">
        <f aca="false">M16+M18</f>
        <v>180.267704</v>
      </c>
    </row>
    <row r="21" customFormat="false" ht="15" hidden="false" customHeight="false" outlineLevel="0" collapsed="false">
      <c r="B21" s="12" t="s">
        <v>184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</row>
    <row r="22" customFormat="false" ht="15" hidden="false" customHeight="false" outlineLevel="0" collapsed="false">
      <c r="B22" s="15" t="s">
        <v>170</v>
      </c>
      <c r="C22" s="16"/>
      <c r="D22" s="17" t="s">
        <v>13</v>
      </c>
      <c r="E22" s="17" t="s">
        <v>14</v>
      </c>
      <c r="F22" s="17" t="s">
        <v>15</v>
      </c>
      <c r="G22" s="17" t="s">
        <v>16</v>
      </c>
      <c r="H22" s="17" t="s">
        <v>17</v>
      </c>
      <c r="I22" s="17" t="s">
        <v>18</v>
      </c>
      <c r="J22" s="17" t="s">
        <v>19</v>
      </c>
      <c r="K22" s="17" t="s">
        <v>20</v>
      </c>
      <c r="L22" s="17" t="s">
        <v>21</v>
      </c>
      <c r="M22" s="17" t="s">
        <v>22</v>
      </c>
    </row>
    <row r="23" customFormat="false" ht="15" hidden="false" customHeight="false" outlineLevel="0" collapsed="false">
      <c r="B23" s="18" t="s">
        <v>185</v>
      </c>
      <c r="D23" s="38" t="n">
        <f aca="false">MAX(0,D16)</f>
        <v>0</v>
      </c>
      <c r="E23" s="38" t="n">
        <f aca="false">MAX(0,E16)</f>
        <v>0</v>
      </c>
      <c r="F23" s="38" t="n">
        <f aca="false">MAX(0,F16)</f>
        <v>45.0897200000002</v>
      </c>
      <c r="G23" s="38" t="n">
        <f aca="false">MAX(0,G16)</f>
        <v>106.702856</v>
      </c>
      <c r="H23" s="38" t="n">
        <f aca="false">MAX(0,H16)</f>
        <v>151.109648</v>
      </c>
      <c r="I23" s="38" t="n">
        <f aca="false">MAX(0,I16)</f>
        <v>178.928288</v>
      </c>
      <c r="J23" s="38" t="n">
        <f aca="false">MAX(0,J16)</f>
        <v>190.776968</v>
      </c>
      <c r="K23" s="38" t="n">
        <f aca="false">MAX(0,K16)</f>
        <v>187.27388</v>
      </c>
      <c r="L23" s="38" t="n">
        <f aca="false">MAX(0,L16)</f>
        <v>183.770791999999</v>
      </c>
      <c r="M23" s="38" t="n">
        <f aca="false">MAX(0,M16)</f>
        <v>180.267704</v>
      </c>
    </row>
    <row r="24" customFormat="false" ht="15" hidden="false" customHeight="false" outlineLevel="0" collapsed="false">
      <c r="B24" s="21" t="s">
        <v>186</v>
      </c>
      <c r="D24" s="38" t="n">
        <f aca="false">Assumptions!$C$88</f>
        <v>0</v>
      </c>
      <c r="E24" s="38" t="n">
        <f aca="false">D27</f>
        <v>13.34</v>
      </c>
      <c r="F24" s="38" t="n">
        <f aca="false">E27</f>
        <v>60.03</v>
      </c>
      <c r="G24" s="38" t="n">
        <f aca="false">F27</f>
        <v>23.9582239999998</v>
      </c>
      <c r="H24" s="38" t="n">
        <f aca="false">G27</f>
        <v>0</v>
      </c>
      <c r="I24" s="38" t="n">
        <f aca="false">H27</f>
        <v>0</v>
      </c>
      <c r="J24" s="38" t="n">
        <f aca="false">I27</f>
        <v>0</v>
      </c>
      <c r="K24" s="38" t="n">
        <f aca="false">J27</f>
        <v>0</v>
      </c>
      <c r="L24" s="38" t="n">
        <f aca="false">K27</f>
        <v>0</v>
      </c>
      <c r="M24" s="38" t="n">
        <f aca="false">L27</f>
        <v>0</v>
      </c>
    </row>
    <row r="25" customFormat="false" ht="15" hidden="false" customHeight="false" outlineLevel="0" collapsed="false">
      <c r="B25" s="21" t="s">
        <v>187</v>
      </c>
      <c r="D25" s="38" t="n">
        <f aca="false">MIN(D24,D23*Assumptions!$C$89)</f>
        <v>0</v>
      </c>
      <c r="E25" s="38" t="n">
        <f aca="false">MIN(E24,E23*Assumptions!$C$89)</f>
        <v>0</v>
      </c>
      <c r="F25" s="38" t="n">
        <f aca="false">MIN(F24,F23*Assumptions!$C$89)</f>
        <v>36.0717760000002</v>
      </c>
      <c r="G25" s="38" t="n">
        <f aca="false">MIN(G24,G23*Assumptions!$C$89)</f>
        <v>23.9582239999998</v>
      </c>
      <c r="H25" s="38" t="n">
        <f aca="false">MIN(H24,H23*Assumptions!$C$89)</f>
        <v>0</v>
      </c>
      <c r="I25" s="38" t="n">
        <f aca="false">MIN(I24,I23*Assumptions!$C$89)</f>
        <v>0</v>
      </c>
      <c r="J25" s="38" t="n">
        <f aca="false">MIN(J24,J23*Assumptions!$C$89)</f>
        <v>0</v>
      </c>
      <c r="K25" s="38" t="n">
        <f aca="false">MIN(K24,K23*Assumptions!$C$89)</f>
        <v>0</v>
      </c>
      <c r="L25" s="38" t="n">
        <f aca="false">MIN(L24,L23*Assumptions!$C$89)</f>
        <v>0</v>
      </c>
      <c r="M25" s="38" t="n">
        <f aca="false">MIN(M24,M23*Assumptions!$C$89)</f>
        <v>0</v>
      </c>
    </row>
    <row r="26" customFormat="false" ht="15" hidden="false" customHeight="false" outlineLevel="0" collapsed="false">
      <c r="B26" s="21" t="s">
        <v>188</v>
      </c>
      <c r="D26" s="38" t="n">
        <f aca="false">MAX(0,-D16)</f>
        <v>13.34</v>
      </c>
      <c r="E26" s="38" t="n">
        <f aca="false">MAX(0,-E16)</f>
        <v>46.69</v>
      </c>
      <c r="F26" s="38" t="n">
        <f aca="false">MAX(0,-F16)</f>
        <v>0</v>
      </c>
      <c r="G26" s="38" t="n">
        <f aca="false">MAX(0,-G16)</f>
        <v>0</v>
      </c>
      <c r="H26" s="38" t="n">
        <f aca="false">MAX(0,-H16)</f>
        <v>0</v>
      </c>
      <c r="I26" s="38" t="n">
        <f aca="false">MAX(0,-I16)</f>
        <v>0</v>
      </c>
      <c r="J26" s="38" t="n">
        <f aca="false">MAX(0,-J16)</f>
        <v>0</v>
      </c>
      <c r="K26" s="38" t="n">
        <f aca="false">MAX(0,-K16)</f>
        <v>0</v>
      </c>
      <c r="L26" s="38" t="n">
        <f aca="false">MAX(0,-L16)</f>
        <v>0</v>
      </c>
      <c r="M26" s="38" t="n">
        <f aca="false">MAX(0,-M16)</f>
        <v>0</v>
      </c>
    </row>
    <row r="27" customFormat="false" ht="15" hidden="false" customHeight="false" outlineLevel="0" collapsed="false">
      <c r="B27" s="21" t="s">
        <v>189</v>
      </c>
      <c r="D27" s="38" t="n">
        <f aca="false">D24-D25+D26</f>
        <v>13.34</v>
      </c>
      <c r="E27" s="38" t="n">
        <f aca="false">E24-E25+E26</f>
        <v>60.03</v>
      </c>
      <c r="F27" s="38" t="n">
        <f aca="false">F24-F25+F26</f>
        <v>23.9582239999998</v>
      </c>
      <c r="G27" s="38" t="n">
        <f aca="false">G24-G25+G26</f>
        <v>0</v>
      </c>
      <c r="H27" s="38" t="n">
        <f aca="false">H24-H25+H26</f>
        <v>0</v>
      </c>
      <c r="I27" s="38" t="n">
        <f aca="false">I24-I25+I26</f>
        <v>0</v>
      </c>
      <c r="J27" s="38" t="n">
        <f aca="false">J24-J25+J26</f>
        <v>0</v>
      </c>
      <c r="K27" s="38" t="n">
        <f aca="false">K24-K25+K26</f>
        <v>0</v>
      </c>
      <c r="L27" s="38" t="n">
        <f aca="false">L24-L25+L26</f>
        <v>0</v>
      </c>
      <c r="M27" s="38" t="n">
        <f aca="false">M24-M25+M26</f>
        <v>0</v>
      </c>
    </row>
    <row r="28" customFormat="false" ht="15" hidden="false" customHeight="false" outlineLevel="0" collapsed="false">
      <c r="B28" s="18" t="s">
        <v>190</v>
      </c>
      <c r="D28" s="38" t="n">
        <f aca="false">D23-D25</f>
        <v>0</v>
      </c>
      <c r="E28" s="38" t="n">
        <f aca="false">E23-E25</f>
        <v>0</v>
      </c>
      <c r="F28" s="38" t="n">
        <f aca="false">F23-F25</f>
        <v>9.01794400000004</v>
      </c>
      <c r="G28" s="38" t="n">
        <f aca="false">G23-G25</f>
        <v>82.7446320000002</v>
      </c>
      <c r="H28" s="38" t="n">
        <f aca="false">H23-H25</f>
        <v>151.109648</v>
      </c>
      <c r="I28" s="38" t="n">
        <f aca="false">I23-I25</f>
        <v>178.928288</v>
      </c>
      <c r="J28" s="38" t="n">
        <f aca="false">J23-J25</f>
        <v>190.776968</v>
      </c>
      <c r="K28" s="38" t="n">
        <f aca="false">K23-K25</f>
        <v>187.27388</v>
      </c>
      <c r="L28" s="38" t="n">
        <f aca="false">L23-L25</f>
        <v>183.770791999999</v>
      </c>
      <c r="M28" s="38" t="n">
        <f aca="false">M23-M25</f>
        <v>180.267704</v>
      </c>
    </row>
    <row r="29" customFormat="false" ht="15" hidden="false" customHeight="false" outlineLevel="0" collapsed="false">
      <c r="B29" s="18" t="s">
        <v>191</v>
      </c>
      <c r="D29" s="38" t="n">
        <f aca="false">-D28*Assumptions!$C$86</f>
        <v>-0</v>
      </c>
      <c r="E29" s="38" t="n">
        <f aca="false">-E28*Assumptions!$C$86</f>
        <v>-0</v>
      </c>
      <c r="F29" s="38" t="n">
        <f aca="false">-F28*Assumptions!$C$86</f>
        <v>-2.07412712000001</v>
      </c>
      <c r="G29" s="38" t="n">
        <f aca="false">-G28*Assumptions!$C$86</f>
        <v>-19.0312653600001</v>
      </c>
      <c r="H29" s="38" t="n">
        <f aca="false">-H28*Assumptions!$C$86</f>
        <v>-34.75521904</v>
      </c>
      <c r="I29" s="38" t="n">
        <f aca="false">-I28*Assumptions!$C$86</f>
        <v>-41.1535062400001</v>
      </c>
      <c r="J29" s="38" t="n">
        <f aca="false">-J28*Assumptions!$C$86</f>
        <v>-43.8787026400001</v>
      </c>
      <c r="K29" s="38" t="n">
        <f aca="false">-K28*Assumptions!$C$86</f>
        <v>-43.0729924</v>
      </c>
      <c r="L29" s="38" t="n">
        <f aca="false">-L28*Assumptions!$C$86</f>
        <v>-42.2672821599998</v>
      </c>
      <c r="M29" s="38" t="n">
        <f aca="false">-M28*Assumptions!$C$86</f>
        <v>-41.4615719200001</v>
      </c>
    </row>
    <row r="30" customFormat="false" ht="15" hidden="false" customHeight="false" outlineLevel="0" collapsed="false">
      <c r="B30" s="55" t="s">
        <v>192</v>
      </c>
      <c r="D30" s="56" t="n">
        <f aca="false">D19+D29</f>
        <v>-13.34</v>
      </c>
      <c r="E30" s="56" t="n">
        <f aca="false">E19+E29</f>
        <v>-46.69</v>
      </c>
      <c r="F30" s="56" t="n">
        <f aca="false">F19+F29</f>
        <v>417.23559288</v>
      </c>
      <c r="G30" s="56" t="n">
        <f aca="false">G19+G29</f>
        <v>675.73159064</v>
      </c>
      <c r="H30" s="56" t="n">
        <f aca="false">H19+H29</f>
        <v>677.68442896</v>
      </c>
      <c r="I30" s="56" t="n">
        <f aca="false">I19+I29</f>
        <v>565.45478176</v>
      </c>
      <c r="J30" s="56" t="n">
        <f aca="false">J19+J29</f>
        <v>374.10326536</v>
      </c>
      <c r="K30" s="56" t="n">
        <f aca="false">K19+K29</f>
        <v>144.2008876</v>
      </c>
      <c r="L30" s="56" t="n">
        <f aca="false">L19+L29</f>
        <v>141.503509839999</v>
      </c>
      <c r="M30" s="56" t="n">
        <f aca="false">M19+M29</f>
        <v>138.80613208</v>
      </c>
    </row>
    <row r="31" customFormat="false" ht="15" hidden="false" customHeight="false" outlineLevel="0" collapsed="false">
      <c r="B31" s="21" t="s">
        <v>193</v>
      </c>
      <c r="D31" s="38" t="n">
        <f aca="false">-D15</f>
        <v>13.34</v>
      </c>
      <c r="E31" s="38" t="n">
        <f aca="false">-E15</f>
        <v>46.69</v>
      </c>
      <c r="F31" s="38" t="n">
        <f aca="false">-F15</f>
        <v>66.7</v>
      </c>
      <c r="G31" s="38" t="n">
        <f aca="false">-G15</f>
        <v>66.7</v>
      </c>
      <c r="H31" s="38" t="n">
        <f aca="false">-H15</f>
        <v>66.7</v>
      </c>
      <c r="I31" s="38" t="n">
        <f aca="false">-I15</f>
        <v>66.7</v>
      </c>
      <c r="J31" s="38" t="n">
        <f aca="false">-J15</f>
        <v>66.7</v>
      </c>
      <c r="K31" s="38" t="n">
        <f aca="false">-K15</f>
        <v>66.7</v>
      </c>
      <c r="L31" s="38" t="n">
        <f aca="false">-L15</f>
        <v>66.7</v>
      </c>
      <c r="M31" s="38" t="n">
        <f aca="false">-M15</f>
        <v>66.7</v>
      </c>
    </row>
    <row r="32" customFormat="false" ht="15" hidden="false" customHeight="false" outlineLevel="0" collapsed="false">
      <c r="B32" s="21" t="s">
        <v>194</v>
      </c>
      <c r="D32" s="38" t="n">
        <f aca="false">-D8*Assumptions!$C$83</f>
        <v>-0</v>
      </c>
      <c r="E32" s="38" t="n">
        <f aca="false">-E8*Assumptions!$C$83</f>
        <v>-0</v>
      </c>
      <c r="F32" s="38" t="n">
        <f aca="false">-F8*Assumptions!$C$83</f>
        <v>-37.26324</v>
      </c>
      <c r="G32" s="38" t="n">
        <f aca="false">-G8*Assumptions!$C$83</f>
        <v>-57.800952</v>
      </c>
      <c r="H32" s="38" t="n">
        <f aca="false">-H8*Assumptions!$C$83</f>
        <v>-72.603216</v>
      </c>
      <c r="I32" s="38" t="n">
        <f aca="false">-I8*Assumptions!$C$83</f>
        <v>-81.876096</v>
      </c>
      <c r="J32" s="38" t="n">
        <f aca="false">-J8*Assumptions!$C$83</f>
        <v>-85.825656</v>
      </c>
      <c r="K32" s="38" t="n">
        <f aca="false">-K8*Assumptions!$C$83</f>
        <v>-84.65796</v>
      </c>
      <c r="L32" s="38" t="n">
        <f aca="false">-L8*Assumptions!$C$83</f>
        <v>-83.490264</v>
      </c>
      <c r="M32" s="38" t="n">
        <f aca="false">-M8*Assumptions!$C$83</f>
        <v>-82.322568</v>
      </c>
    </row>
    <row r="33" customFormat="false" ht="15" hidden="false" customHeight="false" outlineLevel="0" collapsed="false">
      <c r="B33" s="21" t="s">
        <v>195</v>
      </c>
      <c r="D33" s="38" t="n">
        <f aca="false">-Assumptions!D78</f>
        <v>-200</v>
      </c>
      <c r="E33" s="38" t="n">
        <f aca="false">-Assumptions!E78</f>
        <v>-500</v>
      </c>
      <c r="F33" s="38" t="n">
        <f aca="false">-Assumptions!F78</f>
        <v>-300</v>
      </c>
      <c r="G33" s="38" t="n">
        <f aca="false">-Assumptions!G78</f>
        <v>-0</v>
      </c>
      <c r="H33" s="38" t="n">
        <f aca="false">-Assumptions!H78</f>
        <v>-0</v>
      </c>
      <c r="I33" s="38" t="n">
        <f aca="false">-Assumptions!I78</f>
        <v>-0</v>
      </c>
      <c r="J33" s="38" t="n">
        <f aca="false">-Assumptions!J78</f>
        <v>-0</v>
      </c>
      <c r="K33" s="38" t="n">
        <f aca="false">-Assumptions!K78</f>
        <v>-0</v>
      </c>
      <c r="L33" s="38" t="n">
        <f aca="false">-Assumptions!L78</f>
        <v>-0</v>
      </c>
      <c r="M33" s="38" t="n">
        <f aca="false">-Assumptions!M78</f>
        <v>-0</v>
      </c>
    </row>
    <row r="34" customFormat="false" ht="15" hidden="false" customHeight="false" outlineLevel="0" collapsed="false">
      <c r="B34" s="21" t="s">
        <v>196</v>
      </c>
      <c r="D34" s="38" t="n">
        <f aca="false">Assumptions!D78*Assumptions!$C$84</f>
        <v>20</v>
      </c>
      <c r="E34" s="38" t="n">
        <f aca="false">Assumptions!E78*Assumptions!$C$84</f>
        <v>50</v>
      </c>
      <c r="F34" s="38" t="n">
        <f aca="false">Assumptions!F78*Assumptions!$C$84</f>
        <v>30</v>
      </c>
      <c r="G34" s="38" t="n">
        <f aca="false">Assumptions!G78*Assumptions!$C$84</f>
        <v>0</v>
      </c>
      <c r="H34" s="38" t="n">
        <f aca="false">Assumptions!H78*Assumptions!$C$84</f>
        <v>0</v>
      </c>
      <c r="I34" s="38" t="n">
        <f aca="false">Assumptions!I78*Assumptions!$C$84</f>
        <v>0</v>
      </c>
      <c r="J34" s="38" t="n">
        <f aca="false">Assumptions!J78*Assumptions!$C$84</f>
        <v>0</v>
      </c>
      <c r="K34" s="38" t="n">
        <f aca="false">Assumptions!K78*Assumptions!$C$84</f>
        <v>0</v>
      </c>
      <c r="L34" s="38" t="n">
        <f aca="false">Assumptions!L78*Assumptions!$C$84</f>
        <v>0</v>
      </c>
      <c r="M34" s="38" t="n">
        <f aca="false">Assumptions!M78*Assumptions!$C$84</f>
        <v>0</v>
      </c>
    </row>
    <row r="35" customFormat="false" ht="15" hidden="false" customHeight="false" outlineLevel="0" collapsed="false">
      <c r="B35" s="21" t="s">
        <v>197</v>
      </c>
      <c r="D35" s="38" t="n">
        <f aca="false">D8*Assumptions!$C$85</f>
        <v>0</v>
      </c>
      <c r="E35" s="38" t="n">
        <f aca="false">E8*Assumptions!$C$85</f>
        <v>0</v>
      </c>
      <c r="F35" s="38" t="n">
        <f aca="false">F8*Assumptions!$C$85</f>
        <v>186.3162</v>
      </c>
      <c r="G35" s="38" t="n">
        <f aca="false">G8*Assumptions!$C$85</f>
        <v>289.00476</v>
      </c>
      <c r="H35" s="38" t="n">
        <f aca="false">H8*Assumptions!$C$85</f>
        <v>363.01608</v>
      </c>
      <c r="I35" s="38" t="n">
        <f aca="false">I8*Assumptions!$C$85</f>
        <v>409.38048</v>
      </c>
      <c r="J35" s="38" t="n">
        <f aca="false">J8*Assumptions!$C$85</f>
        <v>429.12828</v>
      </c>
      <c r="K35" s="38" t="n">
        <f aca="false">K8*Assumptions!$C$85</f>
        <v>423.2898</v>
      </c>
      <c r="L35" s="38" t="n">
        <f aca="false">L8*Assumptions!$C$85</f>
        <v>417.45132</v>
      </c>
      <c r="M35" s="38" t="n">
        <f aca="false">M8*Assumptions!$C$85</f>
        <v>411.61284</v>
      </c>
    </row>
    <row r="36" customFormat="false" ht="15" hidden="false" customHeight="false" outlineLevel="0" collapsed="false">
      <c r="B36" s="21" t="s">
        <v>198</v>
      </c>
      <c r="D36" s="38" t="n">
        <f aca="false">-D35</f>
        <v>-0</v>
      </c>
      <c r="E36" s="38" t="n">
        <f aca="false">-(E35-D35)</f>
        <v>-0</v>
      </c>
      <c r="F36" s="38" t="n">
        <f aca="false">-(F35-E35)</f>
        <v>-186.3162</v>
      </c>
      <c r="G36" s="38" t="n">
        <f aca="false">-(G35-F35)</f>
        <v>-102.68856</v>
      </c>
      <c r="H36" s="38" t="n">
        <f aca="false">-(H35-G35)</f>
        <v>-74.01132</v>
      </c>
      <c r="I36" s="38" t="n">
        <f aca="false">-(I35-H35)</f>
        <v>-46.3644</v>
      </c>
      <c r="J36" s="38" t="n">
        <f aca="false">-(J35-I35)</f>
        <v>-19.7477999999999</v>
      </c>
      <c r="K36" s="38" t="n">
        <f aca="false">-(K35-J35)</f>
        <v>5.83848</v>
      </c>
      <c r="L36" s="38" t="n">
        <f aca="false">-(L35-K35)</f>
        <v>5.83848</v>
      </c>
      <c r="M36" s="38" t="n">
        <f aca="false">-(M35-L35)</f>
        <v>5.83848</v>
      </c>
    </row>
    <row r="37" customFormat="false" ht="15" hidden="false" customHeight="false" outlineLevel="0" collapsed="false">
      <c r="B37" s="58" t="s">
        <v>199</v>
      </c>
      <c r="D37" s="59" t="n">
        <f aca="false">D30+D31+D32+D33+D34+D36</f>
        <v>-180</v>
      </c>
      <c r="E37" s="59" t="n">
        <f aca="false">E30+E31+E32+E33+E34+E36</f>
        <v>-450</v>
      </c>
      <c r="F37" s="59" t="n">
        <f aca="false">F30+F31+F32+F33+F34+F36</f>
        <v>-9.64384711999981</v>
      </c>
      <c r="G37" s="59" t="n">
        <f aca="false">G30+G31+G32+G33+G34+G36</f>
        <v>581.94207864</v>
      </c>
      <c r="H37" s="59" t="n">
        <f aca="false">H30+H31+H32+H33+H34+H36</f>
        <v>597.76989296</v>
      </c>
      <c r="I37" s="59" t="n">
        <f aca="false">I30+I31+I32+I33+I34+I36</f>
        <v>503.91428576</v>
      </c>
      <c r="J37" s="59" t="n">
        <f aca="false">J30+J31+J32+J33+J34+J36</f>
        <v>335.22980936</v>
      </c>
      <c r="K37" s="59" t="n">
        <f aca="false">K30+K31+K32+K33+K34+K36</f>
        <v>132.0814076</v>
      </c>
      <c r="L37" s="59" t="n">
        <f aca="false">L30+L31+L32+L33+L34+L36</f>
        <v>130.551725839999</v>
      </c>
      <c r="M37" s="59" t="n">
        <f aca="false">M30+M31+M32+M33+M34+M36</f>
        <v>129.02204408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13" min="4" style="0" width="9.5"/>
  </cols>
  <sheetData>
    <row r="1" customFormat="false" ht="18.55" hidden="false" customHeight="false" outlineLevel="0" collapsed="false">
      <c r="B1" s="1" t="s">
        <v>207</v>
      </c>
    </row>
    <row r="2" customFormat="false" ht="15" hidden="false" customHeight="false" outlineLevel="0" collapsed="false">
      <c r="B2" s="53" t="s">
        <v>208</v>
      </c>
    </row>
    <row r="4" customFormat="false" ht="15" hidden="false" customHeight="false" outlineLevel="0" collapsed="false">
      <c r="B4" s="43" t="s">
        <v>209</v>
      </c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</row>
    <row r="5" customFormat="false" ht="15" hidden="false" customHeight="false" outlineLevel="0" collapsed="false">
      <c r="B5" s="15" t="s">
        <v>170</v>
      </c>
      <c r="C5" s="16"/>
      <c r="D5" s="17" t="s">
        <v>13</v>
      </c>
      <c r="E5" s="17" t="s">
        <v>14</v>
      </c>
      <c r="F5" s="17" t="s">
        <v>15</v>
      </c>
      <c r="G5" s="17" t="s">
        <v>16</v>
      </c>
      <c r="H5" s="17" t="s">
        <v>17</v>
      </c>
      <c r="I5" s="17" t="s">
        <v>18</v>
      </c>
      <c r="J5" s="17" t="s">
        <v>19</v>
      </c>
      <c r="K5" s="17" t="s">
        <v>20</v>
      </c>
      <c r="L5" s="17" t="s">
        <v>21</v>
      </c>
      <c r="M5" s="17" t="s">
        <v>22</v>
      </c>
    </row>
    <row r="6" customFormat="false" ht="15" hidden="false" customHeight="false" outlineLevel="0" collapsed="false">
      <c r="B6" s="61" t="s">
        <v>210</v>
      </c>
      <c r="D6" s="62" t="n">
        <f aca="false">SKBA!D8</f>
        <v>0</v>
      </c>
      <c r="E6" s="62" t="n">
        <f aca="false">SKBA!E8</f>
        <v>722.92</v>
      </c>
      <c r="F6" s="62" t="n">
        <f aca="false">SKBA!F8</f>
        <v>1643</v>
      </c>
      <c r="G6" s="62" t="n">
        <f aca="false">SKBA!G8</f>
        <v>1946.16</v>
      </c>
      <c r="H6" s="62" t="n">
        <f aca="false">SKBA!H8</f>
        <v>2176.816</v>
      </c>
      <c r="I6" s="62" t="n">
        <f aca="false">SKBA!I8</f>
        <v>2249.0656</v>
      </c>
      <c r="J6" s="62" t="n">
        <f aca="false">SKBA!J8</f>
        <v>2243.808</v>
      </c>
      <c r="K6" s="62" t="n">
        <f aca="false">SKBA!K8</f>
        <v>2213.28</v>
      </c>
      <c r="L6" s="62" t="n">
        <f aca="false">SKBA!L8</f>
        <v>2182.752</v>
      </c>
      <c r="M6" s="62" t="n">
        <f aca="false">SKBA!M8</f>
        <v>2152.224</v>
      </c>
    </row>
    <row r="7" customFormat="false" ht="15" hidden="false" customHeight="false" outlineLevel="0" collapsed="false">
      <c r="B7" s="63" t="s">
        <v>211</v>
      </c>
      <c r="D7" s="64" t="n">
        <f aca="false">SKOT!D8</f>
        <v>0</v>
      </c>
      <c r="E7" s="64" t="n">
        <f aca="false">SKOT!E8</f>
        <v>0</v>
      </c>
      <c r="F7" s="64" t="n">
        <f aca="false">SKOT!F8</f>
        <v>1242.108</v>
      </c>
      <c r="G7" s="64" t="n">
        <f aca="false">SKOT!G8</f>
        <v>1926.6984</v>
      </c>
      <c r="H7" s="64" t="n">
        <f aca="false">SKOT!H8</f>
        <v>2420.1072</v>
      </c>
      <c r="I7" s="64" t="n">
        <f aca="false">SKOT!I8</f>
        <v>2729.2032</v>
      </c>
      <c r="J7" s="64" t="n">
        <f aca="false">SKOT!J8</f>
        <v>2860.8552</v>
      </c>
      <c r="K7" s="64" t="n">
        <f aca="false">SKOT!K8</f>
        <v>2821.932</v>
      </c>
      <c r="L7" s="64" t="n">
        <f aca="false">SKOT!L8</f>
        <v>2783.0088</v>
      </c>
      <c r="M7" s="64" t="n">
        <f aca="false">SKOT!M8</f>
        <v>2744.0856</v>
      </c>
    </row>
    <row r="8" customFormat="false" ht="15" hidden="false" customHeight="false" outlineLevel="0" collapsed="false">
      <c r="B8" s="55" t="s">
        <v>212</v>
      </c>
      <c r="D8" s="56" t="n">
        <f aca="false">D6+D7</f>
        <v>0</v>
      </c>
      <c r="E8" s="56" t="n">
        <f aca="false">E6+E7</f>
        <v>722.92</v>
      </c>
      <c r="F8" s="56" t="n">
        <f aca="false">F6+F7</f>
        <v>2885.108</v>
      </c>
      <c r="G8" s="56" t="n">
        <f aca="false">G6+G7</f>
        <v>3872.8584</v>
      </c>
      <c r="H8" s="56" t="n">
        <f aca="false">H6+H7</f>
        <v>4596.9232</v>
      </c>
      <c r="I8" s="56" t="n">
        <f aca="false">I6+I7</f>
        <v>4978.2688</v>
      </c>
      <c r="J8" s="56" t="n">
        <f aca="false">J6+J7</f>
        <v>5104.6632</v>
      </c>
      <c r="K8" s="56" t="n">
        <f aca="false">K6+K7</f>
        <v>5035.212</v>
      </c>
      <c r="L8" s="56" t="n">
        <f aca="false">L6+L7</f>
        <v>4965.7608</v>
      </c>
      <c r="M8" s="56" t="n">
        <f aca="false">M6+M7</f>
        <v>4896.3096</v>
      </c>
    </row>
    <row r="9" customFormat="false" ht="15" hidden="false" customHeight="false" outlineLevel="0" collapsed="false">
      <c r="B9" s="21" t="s">
        <v>213</v>
      </c>
      <c r="D9" s="54" t="n">
        <f aca="false">SKBA!D6+Assumptions!D69+Assumptions!D70</f>
        <v>0</v>
      </c>
      <c r="E9" s="54" t="n">
        <f aca="false">SKBA!E6+Assumptions!E69+Assumptions!E70</f>
        <v>4.664</v>
      </c>
      <c r="F9" s="54" t="n">
        <f aca="false">SKBA!F6+Assumptions!F69+Assumptions!F70</f>
        <v>18.916</v>
      </c>
      <c r="G9" s="54" t="n">
        <f aca="false">SKBA!G6+Assumptions!G69+Assumptions!G70</f>
        <v>25.788</v>
      </c>
      <c r="H9" s="54" t="n">
        <f aca="false">SKBA!H6+Assumptions!H69+Assumptions!H70</f>
        <v>31.048</v>
      </c>
      <c r="I9" s="54" t="n">
        <f aca="false">SKBA!I6+Assumptions!I69+Assumptions!I70</f>
        <v>34.1024</v>
      </c>
      <c r="J9" s="54" t="n">
        <f aca="false">SKBA!J6+Assumptions!J69+Assumptions!J70</f>
        <v>35.46</v>
      </c>
      <c r="K9" s="54" t="n">
        <f aca="false">SKBA!K6+Assumptions!K69+Assumptions!K70</f>
        <v>35.46</v>
      </c>
      <c r="L9" s="54" t="n">
        <f aca="false">SKBA!L6+Assumptions!L69+Assumptions!L70</f>
        <v>35.46</v>
      </c>
      <c r="M9" s="54" t="n">
        <f aca="false">SKBA!M6+Assumptions!M69+Assumptions!M70</f>
        <v>35.46</v>
      </c>
    </row>
    <row r="11" customFormat="false" ht="15" hidden="false" customHeight="false" outlineLevel="0" collapsed="false">
      <c r="B11" s="43" t="s">
        <v>214</v>
      </c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</row>
    <row r="12" customFormat="false" ht="15" hidden="false" customHeight="false" outlineLevel="0" collapsed="false">
      <c r="B12" s="15" t="s">
        <v>170</v>
      </c>
      <c r="C12" s="16"/>
      <c r="D12" s="17" t="s">
        <v>13</v>
      </c>
      <c r="E12" s="17" t="s">
        <v>14</v>
      </c>
      <c r="F12" s="17" t="s">
        <v>15</v>
      </c>
      <c r="G12" s="17" t="s">
        <v>16</v>
      </c>
      <c r="H12" s="17" t="s">
        <v>17</v>
      </c>
      <c r="I12" s="17" t="s">
        <v>18</v>
      </c>
      <c r="J12" s="17" t="s">
        <v>19</v>
      </c>
      <c r="K12" s="17" t="s">
        <v>20</v>
      </c>
      <c r="L12" s="17" t="s">
        <v>21</v>
      </c>
      <c r="M12" s="17" t="s">
        <v>22</v>
      </c>
    </row>
    <row r="13" customFormat="false" ht="15" hidden="false" customHeight="false" outlineLevel="0" collapsed="false">
      <c r="B13" s="21" t="s">
        <v>215</v>
      </c>
      <c r="D13" s="38" t="n">
        <f aca="false">SKBA!D16+SKOT!D16</f>
        <v>-26.68</v>
      </c>
      <c r="E13" s="38" t="n">
        <f aca="false">SKBA!E16+SKOT!E16</f>
        <v>0.256000000000093</v>
      </c>
      <c r="F13" s="38" t="n">
        <f aca="false">SKBA!F16+SKOT!F16</f>
        <v>166.917320000001</v>
      </c>
      <c r="G13" s="38" t="n">
        <f aca="false">SKBA!G16+SKOT!G16</f>
        <v>255.140696</v>
      </c>
      <c r="H13" s="38" t="n">
        <f aca="false">SKBA!H16+SKOT!H16</f>
        <v>319.777376</v>
      </c>
      <c r="I13" s="38" t="n">
        <f aca="false">SKBA!I16+SKOT!I16</f>
        <v>353.582896</v>
      </c>
      <c r="J13" s="38" t="n">
        <f aca="false">SKBA!J16+SKOT!J16</f>
        <v>364.705688</v>
      </c>
      <c r="K13" s="38" t="n">
        <f aca="false">SKBA!K16+SKOT!K16</f>
        <v>358.45508</v>
      </c>
      <c r="L13" s="38" t="n">
        <f aca="false">SKBA!L16+SKOT!L16</f>
        <v>352.204471999999</v>
      </c>
      <c r="M13" s="38" t="n">
        <f aca="false">SKBA!M16+SKOT!M16</f>
        <v>345.953864</v>
      </c>
    </row>
    <row r="14" customFormat="false" ht="15" hidden="false" customHeight="false" outlineLevel="0" collapsed="false">
      <c r="B14" s="21" t="s">
        <v>181</v>
      </c>
      <c r="D14" s="57" t="n">
        <f aca="false">IF(D8=0,0,D13/D8)</f>
        <v>0</v>
      </c>
      <c r="E14" s="57" t="n">
        <f aca="false">IF(E8=0,0,E13/E8)</f>
        <v>0.000354119404636879</v>
      </c>
      <c r="F14" s="57" t="n">
        <f aca="false">IF(F8=0,0,F13/F8)</f>
        <v>0.057854790877846</v>
      </c>
      <c r="G14" s="57" t="n">
        <f aca="false">IF(G8=0,0,G13/G8)</f>
        <v>0.0658791697625712</v>
      </c>
      <c r="H14" s="57" t="n">
        <f aca="false">IF(H8=0,0,H13/H8)</f>
        <v>0.0695633496770187</v>
      </c>
      <c r="I14" s="57" t="n">
        <f aca="false">IF(I8=0,0,I13/I8)</f>
        <v>0.0710252720785186</v>
      </c>
      <c r="J14" s="57" t="n">
        <f aca="false">IF(J8=0,0,J13/J8)</f>
        <v>0.0714455927278416</v>
      </c>
      <c r="K14" s="57" t="n">
        <f aca="false">IF(K8=0,0,K13/K8)</f>
        <v>0.0711896698689151</v>
      </c>
      <c r="L14" s="57" t="n">
        <f aca="false">IF(L8=0,0,L13/L8)</f>
        <v>0.0709265883286201</v>
      </c>
      <c r="M14" s="57" t="n">
        <f aca="false">IF(M8=0,0,M13/M8)</f>
        <v>0.0706560434822177</v>
      </c>
    </row>
    <row r="15" customFormat="false" ht="15" hidden="false" customHeight="false" outlineLevel="0" collapsed="false">
      <c r="B15" s="21" t="s">
        <v>182</v>
      </c>
      <c r="D15" s="38" t="n">
        <f aca="false">SKBA!D18+SKOT!D18</f>
        <v>0</v>
      </c>
      <c r="E15" s="38" t="n">
        <f aca="false">SKBA!E18+SKOT!E18</f>
        <v>209.88</v>
      </c>
      <c r="F15" s="38" t="n">
        <f aca="false">SKBA!F18+SKOT!F18</f>
        <v>851.22</v>
      </c>
      <c r="G15" s="38" t="n">
        <f aca="false">SKBA!G18+SKOT!G18</f>
        <v>1160.46</v>
      </c>
      <c r="H15" s="38" t="n">
        <f aca="false">SKBA!H18+SKOT!H18</f>
        <v>1047.87</v>
      </c>
      <c r="I15" s="38" t="n">
        <f aca="false">SKBA!I18+SKOT!I18</f>
        <v>767.304</v>
      </c>
      <c r="J15" s="38" t="n">
        <f aca="false">SKBA!J18+SKOT!J18</f>
        <v>398.925</v>
      </c>
      <c r="K15" s="38" t="n">
        <f aca="false">SKBA!K18+SKOT!K18</f>
        <v>0</v>
      </c>
      <c r="L15" s="38" t="n">
        <f aca="false">SKBA!L18+SKOT!L18</f>
        <v>0</v>
      </c>
      <c r="M15" s="38" t="n">
        <f aca="false">SKBA!M18+SKOT!M18</f>
        <v>0</v>
      </c>
    </row>
    <row r="16" customFormat="false" ht="15" hidden="false" customHeight="false" outlineLevel="0" collapsed="false">
      <c r="B16" s="55" t="s">
        <v>216</v>
      </c>
      <c r="D16" s="56" t="n">
        <f aca="false">SKBA!D19+SKOT!D19</f>
        <v>-26.68</v>
      </c>
      <c r="E16" s="56" t="n">
        <f aca="false">SKBA!E19+SKOT!E19</f>
        <v>210.136</v>
      </c>
      <c r="F16" s="56" t="n">
        <f aca="false">SKBA!F19+SKOT!F19</f>
        <v>1018.13732</v>
      </c>
      <c r="G16" s="56" t="n">
        <f aca="false">SKBA!G19+SKOT!G19</f>
        <v>1415.600696</v>
      </c>
      <c r="H16" s="56" t="n">
        <f aca="false">SKBA!H19+SKOT!H19</f>
        <v>1367.647376</v>
      </c>
      <c r="I16" s="56" t="n">
        <f aca="false">SKBA!I19+SKOT!I19</f>
        <v>1120.886896</v>
      </c>
      <c r="J16" s="56" t="n">
        <f aca="false">SKBA!J19+SKOT!J19</f>
        <v>763.630688</v>
      </c>
      <c r="K16" s="56" t="n">
        <f aca="false">SKBA!K19+SKOT!K19</f>
        <v>358.45508</v>
      </c>
      <c r="L16" s="56" t="n">
        <f aca="false">SKBA!L19+SKOT!L19</f>
        <v>352.204471999999</v>
      </c>
      <c r="M16" s="56" t="n">
        <f aca="false">SKBA!M19+SKOT!M19</f>
        <v>345.953864</v>
      </c>
    </row>
    <row r="17" customFormat="false" ht="15" hidden="false" customHeight="false" outlineLevel="0" collapsed="false">
      <c r="B17" s="21" t="s">
        <v>217</v>
      </c>
      <c r="D17" s="57" t="n">
        <f aca="false">IF(D8=0,0,D16/D8)</f>
        <v>0</v>
      </c>
      <c r="E17" s="57" t="n">
        <f aca="false">IF(E8=0,0,E16/E8)</f>
        <v>0.290676700049798</v>
      </c>
      <c r="F17" s="57" t="n">
        <f aca="false">IF(F8=0,0,F16/F8)</f>
        <v>0.352894006047607</v>
      </c>
      <c r="G17" s="57" t="n">
        <f aca="false">IF(G8=0,0,G16/G8)</f>
        <v>0.365518320008808</v>
      </c>
      <c r="H17" s="57" t="n">
        <f aca="false">IF(H8=0,0,H16/H8)</f>
        <v>0.297513644778751</v>
      </c>
      <c r="I17" s="57" t="n">
        <f aca="false">IF(I8=0,0,I16/I8)</f>
        <v>0.225155961044129</v>
      </c>
      <c r="J17" s="57" t="n">
        <f aca="false">IF(J8=0,0,J16/J8)</f>
        <v>0.149594725074124</v>
      </c>
      <c r="K17" s="57" t="n">
        <f aca="false">IF(K8=0,0,K16/K8)</f>
        <v>0.0711896698689151</v>
      </c>
      <c r="L17" s="57" t="n">
        <f aca="false">IF(L8=0,0,L16/L8)</f>
        <v>0.0709265883286201</v>
      </c>
      <c r="M17" s="57" t="n">
        <f aca="false">IF(M8=0,0,M16/M8)</f>
        <v>0.0706560434822177</v>
      </c>
    </row>
    <row r="18" customFormat="false" ht="15" hidden="false" customHeight="false" outlineLevel="0" collapsed="false">
      <c r="B18" s="21" t="s">
        <v>193</v>
      </c>
      <c r="D18" s="38" t="n">
        <f aca="false">-(SKBA!D15+SKOT!D15)</f>
        <v>26.68</v>
      </c>
      <c r="E18" s="38" t="n">
        <f aca="false">-(SKBA!E15+SKOT!E15)</f>
        <v>72.036</v>
      </c>
      <c r="F18" s="38" t="n">
        <f aca="false">-(SKBA!F15+SKOT!F15)</f>
        <v>94.714</v>
      </c>
      <c r="G18" s="38" t="n">
        <f aca="false">-(SKBA!G15+SKOT!G15)</f>
        <v>94.714</v>
      </c>
      <c r="H18" s="38" t="n">
        <f aca="false">-(SKBA!H15+SKOT!H15)</f>
        <v>94.714</v>
      </c>
      <c r="I18" s="38" t="n">
        <f aca="false">-(SKBA!I15+SKOT!I15)</f>
        <v>94.714</v>
      </c>
      <c r="J18" s="38" t="n">
        <f aca="false">-(SKBA!J15+SKOT!J15)</f>
        <v>94.714</v>
      </c>
      <c r="K18" s="38" t="n">
        <f aca="false">-(SKBA!K15+SKOT!K15)</f>
        <v>94.714</v>
      </c>
      <c r="L18" s="38" t="n">
        <f aca="false">-(SKBA!L15+SKOT!L15)</f>
        <v>94.714</v>
      </c>
      <c r="M18" s="38" t="n">
        <f aca="false">-(SKBA!M15+SKOT!M15)</f>
        <v>94.714</v>
      </c>
    </row>
    <row r="19" customFormat="false" ht="15" hidden="false" customHeight="false" outlineLevel="0" collapsed="false">
      <c r="B19" s="55" t="s">
        <v>218</v>
      </c>
      <c r="D19" s="56" t="n">
        <f aca="false">D16+D18</f>
        <v>0</v>
      </c>
      <c r="E19" s="56" t="n">
        <f aca="false">E16+E18</f>
        <v>282.172</v>
      </c>
      <c r="F19" s="56" t="n">
        <f aca="false">F16+F18</f>
        <v>1112.85132</v>
      </c>
      <c r="G19" s="56" t="n">
        <f aca="false">G16+G18</f>
        <v>1510.314696</v>
      </c>
      <c r="H19" s="56" t="n">
        <f aca="false">H16+H18</f>
        <v>1462.361376</v>
      </c>
      <c r="I19" s="56" t="n">
        <f aca="false">I16+I18</f>
        <v>1215.600896</v>
      </c>
      <c r="J19" s="56" t="n">
        <f aca="false">J16+J18</f>
        <v>858.344688</v>
      </c>
      <c r="K19" s="56" t="n">
        <f aca="false">K16+K18</f>
        <v>453.16908</v>
      </c>
      <c r="L19" s="56" t="n">
        <f aca="false">L16+L18</f>
        <v>446.918471999999</v>
      </c>
      <c r="M19" s="56" t="n">
        <f aca="false">M16+M18</f>
        <v>440.667864</v>
      </c>
    </row>
    <row r="20" customFormat="false" ht="15" hidden="false" customHeight="false" outlineLevel="0" collapsed="false">
      <c r="B20" s="21" t="s">
        <v>219</v>
      </c>
      <c r="D20" s="57" t="n">
        <f aca="false">IF(D8=0,0,D19/D8)</f>
        <v>0</v>
      </c>
      <c r="E20" s="57" t="n">
        <f aca="false">IF(E8=0,0,E19/E8)</f>
        <v>0.390322580645161</v>
      </c>
      <c r="F20" s="57" t="n">
        <f aca="false">IF(F8=0,0,F19/F8)</f>
        <v>0.385722586468167</v>
      </c>
      <c r="G20" s="57" t="n">
        <f aca="false">IF(G8=0,0,G19/G8)</f>
        <v>0.389974158621446</v>
      </c>
      <c r="H20" s="57" t="n">
        <f aca="false">IF(H8=0,0,H19/H8)</f>
        <v>0.318117426020952</v>
      </c>
      <c r="I20" s="57" t="n">
        <f aca="false">IF(I8=0,0,I19/I8)</f>
        <v>0.24418145038693</v>
      </c>
      <c r="J20" s="57" t="n">
        <f aca="false">IF(J8=0,0,J19/J8)</f>
        <v>0.168149132346283</v>
      </c>
      <c r="K20" s="57" t="n">
        <f aca="false">IF(K8=0,0,K19/K8)</f>
        <v>0.09</v>
      </c>
      <c r="L20" s="57" t="n">
        <f aca="false">IF(L8=0,0,L19/L8)</f>
        <v>0.0899999999999999</v>
      </c>
      <c r="M20" s="57" t="n">
        <f aca="false">IF(M8=0,0,M19/M8)</f>
        <v>0.09</v>
      </c>
    </row>
    <row r="21" customFormat="false" ht="15" hidden="false" customHeight="false" outlineLevel="0" collapsed="false">
      <c r="B21" s="65" t="s">
        <v>220</v>
      </c>
      <c r="D21" s="39" t="n">
        <f aca="false">D19-D15</f>
        <v>0</v>
      </c>
      <c r="E21" s="39" t="n">
        <f aca="false">E19-E15</f>
        <v>72.2920000000001</v>
      </c>
      <c r="F21" s="39" t="n">
        <f aca="false">F19-F15</f>
        <v>261.631320000001</v>
      </c>
      <c r="G21" s="39" t="n">
        <f aca="false">G19-G15</f>
        <v>349.854696</v>
      </c>
      <c r="H21" s="39" t="n">
        <f aca="false">H19-H15</f>
        <v>414.491376</v>
      </c>
      <c r="I21" s="39" t="n">
        <f aca="false">I19-I15</f>
        <v>448.296896</v>
      </c>
      <c r="J21" s="39" t="n">
        <f aca="false">J19-J15</f>
        <v>459.419688</v>
      </c>
      <c r="K21" s="39" t="n">
        <f aca="false">K19-K15</f>
        <v>453.16908</v>
      </c>
      <c r="L21" s="39" t="n">
        <f aca="false">L19-L15</f>
        <v>446.918471999999</v>
      </c>
      <c r="M21" s="39" t="n">
        <f aca="false">M19-M15</f>
        <v>440.667864</v>
      </c>
    </row>
    <row r="22" customFormat="false" ht="15" hidden="false" customHeight="false" outlineLevel="0" collapsed="false">
      <c r="B22" s="21" t="s">
        <v>221</v>
      </c>
      <c r="D22" s="57" t="n">
        <f aca="false">IF(D8=0,0,D21/D8)</f>
        <v>0</v>
      </c>
      <c r="E22" s="57" t="n">
        <f aca="false">IF(E8=0,0,E21/E8)</f>
        <v>0.1</v>
      </c>
      <c r="F22" s="57" t="n">
        <f aca="false">IF(F8=0,0,F21/F8)</f>
        <v>0.0906833712984057</v>
      </c>
      <c r="G22" s="57" t="n">
        <f aca="false">IF(G8=0,0,G21/G8)</f>
        <v>0.0903350083752094</v>
      </c>
      <c r="H22" s="57" t="n">
        <f aca="false">IF(H8=0,0,H21/H8)</f>
        <v>0.0901671309192201</v>
      </c>
      <c r="I22" s="57" t="n">
        <f aca="false">IF(I8=0,0,I21/I8)</f>
        <v>0.0900507614213199</v>
      </c>
      <c r="J22" s="57" t="n">
        <f aca="false">IF(J8=0,0,J21/J8)</f>
        <v>0.0900000000000001</v>
      </c>
      <c r="K22" s="57" t="n">
        <f aca="false">IF(K8=0,0,K21/K8)</f>
        <v>0.09</v>
      </c>
      <c r="L22" s="57" t="n">
        <f aca="false">IF(L8=0,0,L21/L8)</f>
        <v>0.0899999999999999</v>
      </c>
      <c r="M22" s="57" t="n">
        <f aca="false">IF(M8=0,0,M21/M8)</f>
        <v>0.09</v>
      </c>
    </row>
    <row r="24" customFormat="false" ht="15" hidden="false" customHeight="false" outlineLevel="0" collapsed="false">
      <c r="B24" s="43" t="s">
        <v>184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</row>
    <row r="25" customFormat="false" ht="15" hidden="false" customHeight="false" outlineLevel="0" collapsed="false">
      <c r="B25" s="15" t="s">
        <v>170</v>
      </c>
      <c r="C25" s="16"/>
      <c r="D25" s="17" t="s">
        <v>13</v>
      </c>
      <c r="E25" s="17" t="s">
        <v>14</v>
      </c>
      <c r="F25" s="17" t="s">
        <v>15</v>
      </c>
      <c r="G25" s="17" t="s">
        <v>16</v>
      </c>
      <c r="H25" s="17" t="s">
        <v>17</v>
      </c>
      <c r="I25" s="17" t="s">
        <v>18</v>
      </c>
      <c r="J25" s="17" t="s">
        <v>19</v>
      </c>
      <c r="K25" s="17" t="s">
        <v>20</v>
      </c>
      <c r="L25" s="17" t="s">
        <v>21</v>
      </c>
      <c r="M25" s="17" t="s">
        <v>22</v>
      </c>
    </row>
    <row r="26" customFormat="false" ht="15" hidden="false" customHeight="false" outlineLevel="0" collapsed="false">
      <c r="B26" s="21" t="s">
        <v>222</v>
      </c>
      <c r="D26" s="66" t="n">
        <f aca="false">SKBA!D37</f>
        <v>-180</v>
      </c>
      <c r="E26" s="66" t="n">
        <f aca="false">SKBA!E37</f>
        <v>-12.1131159999998</v>
      </c>
      <c r="F26" s="66" t="n">
        <f aca="false">SKBA!F37</f>
        <v>397.9355304</v>
      </c>
      <c r="G26" s="66" t="n">
        <f aca="false">SKBA!G37</f>
        <v>638.16489936</v>
      </c>
      <c r="H26" s="66" t="n">
        <f aca="false">SKBA!H37</f>
        <v>575.560132512</v>
      </c>
      <c r="I26" s="66" t="n">
        <f aca="false">SKBA!I37</f>
        <v>455.949088032</v>
      </c>
      <c r="J26" s="66" t="n">
        <f aca="false">SKBA!J37</f>
        <v>299.13639888</v>
      </c>
      <c r="K26" s="66" t="n">
        <f aca="false">SKBA!K37</f>
        <v>129.5016648</v>
      </c>
      <c r="L26" s="66" t="n">
        <f aca="false">SKBA!L37</f>
        <v>127.79637072</v>
      </c>
      <c r="M26" s="66" t="n">
        <f aca="false">SKBA!M37</f>
        <v>126.09107664</v>
      </c>
    </row>
    <row r="27" customFormat="false" ht="15" hidden="false" customHeight="false" outlineLevel="0" collapsed="false">
      <c r="B27" s="21" t="s">
        <v>223</v>
      </c>
      <c r="D27" s="66" t="n">
        <f aca="false">SKOT!D37</f>
        <v>-180</v>
      </c>
      <c r="E27" s="66" t="n">
        <f aca="false">SKOT!E37</f>
        <v>-450</v>
      </c>
      <c r="F27" s="66" t="n">
        <f aca="false">SKOT!F37</f>
        <v>-9.64384711999981</v>
      </c>
      <c r="G27" s="66" t="n">
        <f aca="false">SKOT!G37</f>
        <v>581.94207864</v>
      </c>
      <c r="H27" s="66" t="n">
        <f aca="false">SKOT!H37</f>
        <v>597.76989296</v>
      </c>
      <c r="I27" s="66" t="n">
        <f aca="false">SKOT!I37</f>
        <v>503.91428576</v>
      </c>
      <c r="J27" s="66" t="n">
        <f aca="false">SKOT!J37</f>
        <v>335.22980936</v>
      </c>
      <c r="K27" s="66" t="n">
        <f aca="false">SKOT!K37</f>
        <v>132.0814076</v>
      </c>
      <c r="L27" s="66" t="n">
        <f aca="false">SKOT!L37</f>
        <v>130.551725839999</v>
      </c>
      <c r="M27" s="66" t="n">
        <f aca="false">SKOT!M37</f>
        <v>129.02204408</v>
      </c>
    </row>
    <row r="28" customFormat="false" ht="15" hidden="false" customHeight="false" outlineLevel="0" collapsed="false">
      <c r="B28" s="58" t="s">
        <v>224</v>
      </c>
      <c r="D28" s="59" t="n">
        <f aca="false">D26+D27</f>
        <v>-360</v>
      </c>
      <c r="E28" s="59" t="n">
        <f aca="false">E26+E27</f>
        <v>-462.113116</v>
      </c>
      <c r="F28" s="59" t="n">
        <f aca="false">F26+F27</f>
        <v>388.291683280001</v>
      </c>
      <c r="G28" s="59" t="n">
        <f aca="false">G26+G27</f>
        <v>1220.106978</v>
      </c>
      <c r="H28" s="59" t="n">
        <f aca="false">H26+H27</f>
        <v>1173.330025472</v>
      </c>
      <c r="I28" s="59" t="n">
        <f aca="false">I26+I27</f>
        <v>959.863373792</v>
      </c>
      <c r="J28" s="59" t="n">
        <f aca="false">J26+J27</f>
        <v>634.366208240001</v>
      </c>
      <c r="K28" s="59" t="n">
        <f aca="false">K26+K27</f>
        <v>261.5830724</v>
      </c>
      <c r="L28" s="59" t="n">
        <f aca="false">L26+L27</f>
        <v>258.34809656</v>
      </c>
      <c r="M28" s="59" t="n">
        <f aca="false">M26+M27</f>
        <v>255.11312072</v>
      </c>
    </row>
    <row r="30" customFormat="false" ht="15" hidden="false" customHeight="false" outlineLevel="0" collapsed="false">
      <c r="B30" s="4" t="s">
        <v>225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</row>
    <row r="31" customFormat="false" ht="15" hidden="false" customHeight="false" outlineLevel="0" collapsed="false">
      <c r="B31" s="15" t="s">
        <v>170</v>
      </c>
      <c r="C31" s="16"/>
      <c r="D31" s="17" t="s">
        <v>13</v>
      </c>
      <c r="E31" s="17" t="s">
        <v>14</v>
      </c>
      <c r="F31" s="17" t="s">
        <v>15</v>
      </c>
      <c r="G31" s="17" t="s">
        <v>16</v>
      </c>
      <c r="H31" s="17" t="s">
        <v>17</v>
      </c>
      <c r="I31" s="17" t="s">
        <v>18</v>
      </c>
      <c r="J31" s="17" t="s">
        <v>19</v>
      </c>
      <c r="K31" s="17" t="s">
        <v>20</v>
      </c>
      <c r="L31" s="17" t="s">
        <v>21</v>
      </c>
      <c r="M31" s="17" t="s">
        <v>22</v>
      </c>
    </row>
    <row r="32" customFormat="false" ht="15" hidden="false" customHeight="false" outlineLevel="0" collapsed="false">
      <c r="B32" s="21" t="s">
        <v>226</v>
      </c>
      <c r="D32" s="38" t="n">
        <f aca="false">-Assumptions!$C$102*Assumptions!$C$103</f>
        <v>-24</v>
      </c>
      <c r="E32" s="38" t="n">
        <f aca="false">-Assumptions!$C$102*Assumptions!$C$103</f>
        <v>-24</v>
      </c>
      <c r="F32" s="38" t="n">
        <f aca="false">-Assumptions!$C$102*Assumptions!$C$103</f>
        <v>-24</v>
      </c>
      <c r="G32" s="38" t="n">
        <f aca="false">-Assumptions!$C$102*Assumptions!$C$103</f>
        <v>-24</v>
      </c>
      <c r="H32" s="38" t="n">
        <f aca="false">-Assumptions!$C$102*Assumptions!$C$103</f>
        <v>-24</v>
      </c>
      <c r="I32" s="38" t="n">
        <f aca="false">-Assumptions!$C$102*Assumptions!$C$103</f>
        <v>-24</v>
      </c>
      <c r="J32" s="38" t="n">
        <f aca="false">-Assumptions!$C$102*Assumptions!$C$103</f>
        <v>-24</v>
      </c>
      <c r="K32" s="38" t="n">
        <f aca="false">-Assumptions!$C$102*Assumptions!$C$103</f>
        <v>-24</v>
      </c>
      <c r="L32" s="38" t="n">
        <f aca="false">-Assumptions!$C$102*Assumptions!$C$103</f>
        <v>-24</v>
      </c>
      <c r="M32" s="38" t="n">
        <f aca="false">-Assumptions!$C$102*Assumptions!$C$103</f>
        <v>-24</v>
      </c>
    </row>
    <row r="33" customFormat="false" ht="15" hidden="false" customHeight="false" outlineLevel="0" collapsed="false">
      <c r="B33" s="21" t="s">
        <v>227</v>
      </c>
      <c r="D33" s="38" t="n">
        <f aca="false">-D32*Assumptions!$C$86</f>
        <v>5.52</v>
      </c>
      <c r="E33" s="38" t="n">
        <f aca="false">-E32*Assumptions!$C$86</f>
        <v>5.52</v>
      </c>
      <c r="F33" s="38" t="n">
        <f aca="false">-F32*Assumptions!$C$86</f>
        <v>5.52</v>
      </c>
      <c r="G33" s="38" t="n">
        <f aca="false">-G32*Assumptions!$C$86</f>
        <v>5.52</v>
      </c>
      <c r="H33" s="38" t="n">
        <f aca="false">-H32*Assumptions!$C$86</f>
        <v>5.52</v>
      </c>
      <c r="I33" s="38" t="n">
        <f aca="false">-I32*Assumptions!$C$86</f>
        <v>5.52</v>
      </c>
      <c r="J33" s="38" t="n">
        <f aca="false">-J32*Assumptions!$C$86</f>
        <v>5.52</v>
      </c>
      <c r="K33" s="38" t="n">
        <f aca="false">-K32*Assumptions!$C$86</f>
        <v>5.52</v>
      </c>
      <c r="L33" s="38" t="n">
        <f aca="false">-L32*Assumptions!$C$86</f>
        <v>5.52</v>
      </c>
      <c r="M33" s="38" t="n">
        <f aca="false">-M32*Assumptions!$C$86</f>
        <v>5.52</v>
      </c>
    </row>
    <row r="34" customFormat="false" ht="15" hidden="false" customHeight="false" outlineLevel="0" collapsed="false">
      <c r="B34" s="21" t="s">
        <v>228</v>
      </c>
      <c r="D34" s="38" t="n">
        <f aca="false">-Assumptions!$C$104*Assumptions!$C$100</f>
        <v>-27</v>
      </c>
      <c r="E34" s="38" t="n">
        <f aca="false">-Assumptions!$C$104*Assumptions!$C$100</f>
        <v>-27</v>
      </c>
      <c r="F34" s="38" t="n">
        <f aca="false">-Assumptions!$C$104*Assumptions!$C$100</f>
        <v>-27</v>
      </c>
      <c r="G34" s="38" t="n">
        <f aca="false">-Assumptions!$C$104*Assumptions!$C$100</f>
        <v>-27</v>
      </c>
      <c r="H34" s="38" t="n">
        <f aca="false">-Assumptions!$C$104*Assumptions!$C$100</f>
        <v>-27</v>
      </c>
      <c r="I34" s="38" t="n">
        <f aca="false">-Assumptions!$C$104*Assumptions!$C$100</f>
        <v>-27</v>
      </c>
      <c r="J34" s="38" t="n">
        <f aca="false">-Assumptions!$C$104*Assumptions!$C$100</f>
        <v>-27</v>
      </c>
      <c r="K34" s="38" t="n">
        <f aca="false">-Assumptions!$C$104*Assumptions!$C$100</f>
        <v>-27</v>
      </c>
      <c r="L34" s="38" t="n">
        <f aca="false">-Assumptions!$C$104*Assumptions!$C$100</f>
        <v>-27</v>
      </c>
      <c r="M34" s="38" t="n">
        <f aca="false">-Assumptions!$C$104*Assumptions!$C$100</f>
        <v>-27</v>
      </c>
    </row>
    <row r="35" customFormat="false" ht="15" hidden="false" customHeight="false" outlineLevel="0" collapsed="false">
      <c r="B35" s="55" t="s">
        <v>229</v>
      </c>
      <c r="D35" s="56" t="n">
        <f aca="false">D26+D32+D33+D34</f>
        <v>-225.48</v>
      </c>
      <c r="E35" s="56" t="n">
        <f aca="false">E26+E32+E33+E34</f>
        <v>-57.5931159999998</v>
      </c>
      <c r="F35" s="56" t="n">
        <f aca="false">F26+F32+F33+F34</f>
        <v>352.4555304</v>
      </c>
      <c r="G35" s="56" t="n">
        <f aca="false">G26+G32+G33+G34</f>
        <v>592.68489936</v>
      </c>
      <c r="H35" s="56" t="n">
        <f aca="false">H26+H32+H33+H34</f>
        <v>530.080132512</v>
      </c>
      <c r="I35" s="56" t="n">
        <f aca="false">I26+I32+I33+I34</f>
        <v>410.469088032</v>
      </c>
      <c r="J35" s="56" t="n">
        <f aca="false">J26+J32+J33+J34</f>
        <v>253.65639888</v>
      </c>
      <c r="K35" s="56" t="n">
        <f aca="false">K26+K32+K33+K34</f>
        <v>84.0216647999998</v>
      </c>
      <c r="L35" s="56" t="n">
        <f aca="false">L26+L32+L33+L34</f>
        <v>82.31637072</v>
      </c>
      <c r="M35" s="56" t="n">
        <f aca="false">M26+M32+M33+M34</f>
        <v>80.6110766399998</v>
      </c>
    </row>
    <row r="36" customFormat="false" ht="15" hidden="false" customHeight="false" outlineLevel="0" collapsed="false">
      <c r="B36" s="21" t="s">
        <v>230</v>
      </c>
      <c r="D36" s="38" t="n">
        <f aca="false">-Assumptions!$C$106*Assumptions!$C$107</f>
        <v>-200</v>
      </c>
      <c r="E36" s="38" t="n">
        <f aca="false">-Assumptions!$C$106*Assumptions!$C$107</f>
        <v>-200</v>
      </c>
      <c r="F36" s="38" t="n">
        <f aca="false">-Assumptions!$C$106*Assumptions!$C$107</f>
        <v>-200</v>
      </c>
      <c r="G36" s="38" t="n">
        <f aca="false">-Assumptions!$C$106*Assumptions!$C$107</f>
        <v>-200</v>
      </c>
      <c r="H36" s="38" t="n">
        <f aca="false">-Assumptions!$C$106*Assumptions!$C$107</f>
        <v>-200</v>
      </c>
      <c r="I36" s="38" t="n">
        <f aca="false">-Assumptions!$C$106*Assumptions!$C$107</f>
        <v>-200</v>
      </c>
      <c r="J36" s="38" t="n">
        <f aca="false">-Assumptions!$C$106*Assumptions!$C$107</f>
        <v>-200</v>
      </c>
      <c r="K36" s="38" t="n">
        <f aca="false">-Assumptions!$C$106*Assumptions!$C$107</f>
        <v>-200</v>
      </c>
      <c r="L36" s="38" t="n">
        <f aca="false">-Assumptions!$C$106*Assumptions!$C$107</f>
        <v>-200</v>
      </c>
      <c r="M36" s="38" t="n">
        <f aca="false">-Assumptions!$C$106*Assumptions!$C$107</f>
        <v>-200</v>
      </c>
    </row>
    <row r="37" customFormat="false" ht="15" hidden="false" customHeight="false" outlineLevel="0" collapsed="false">
      <c r="B37" s="21" t="s">
        <v>231</v>
      </c>
      <c r="D37" s="38" t="n">
        <f aca="false">-D36*Assumptions!$C$86</f>
        <v>46</v>
      </c>
      <c r="E37" s="38" t="n">
        <f aca="false">-E36*Assumptions!$C$86</f>
        <v>46</v>
      </c>
      <c r="F37" s="38" t="n">
        <f aca="false">-F36*Assumptions!$C$86</f>
        <v>46</v>
      </c>
      <c r="G37" s="38" t="n">
        <f aca="false">-G36*Assumptions!$C$86</f>
        <v>46</v>
      </c>
      <c r="H37" s="38" t="n">
        <f aca="false">-H36*Assumptions!$C$86</f>
        <v>46</v>
      </c>
      <c r="I37" s="38" t="n">
        <f aca="false">-I36*Assumptions!$C$86</f>
        <v>46</v>
      </c>
      <c r="J37" s="38" t="n">
        <f aca="false">-J36*Assumptions!$C$86</f>
        <v>46</v>
      </c>
      <c r="K37" s="38" t="n">
        <f aca="false">-K36*Assumptions!$C$86</f>
        <v>46</v>
      </c>
      <c r="L37" s="38" t="n">
        <f aca="false">-L36*Assumptions!$C$86</f>
        <v>46</v>
      </c>
      <c r="M37" s="38" t="n">
        <f aca="false">-M36*Assumptions!$C$86</f>
        <v>46</v>
      </c>
    </row>
    <row r="38" customFormat="false" ht="15" hidden="false" customHeight="false" outlineLevel="0" collapsed="false">
      <c r="B38" s="18" t="s">
        <v>232</v>
      </c>
      <c r="D38" s="38" t="n">
        <f aca="false">Assumptions!$C$108/(Assumptions!$C$111-Assumptions!$C$110+1)</f>
        <v>0</v>
      </c>
      <c r="E38" s="38" t="n">
        <f aca="false">Assumptions!$C$108/(Assumptions!$C$111-Assumptions!$C$110+1)</f>
        <v>0</v>
      </c>
      <c r="F38" s="38" t="n">
        <f aca="false">Assumptions!$C$108/(Assumptions!$C$111-Assumptions!$C$110+1)</f>
        <v>0</v>
      </c>
      <c r="G38" s="38" t="n">
        <f aca="false">Assumptions!$C$108/(Assumptions!$C$111-Assumptions!$C$110+1)</f>
        <v>0</v>
      </c>
      <c r="H38" s="38" t="n">
        <f aca="false">Assumptions!$C$108/(Assumptions!$C$111-Assumptions!$C$110+1)</f>
        <v>0</v>
      </c>
      <c r="I38" s="38" t="n">
        <f aca="false">Assumptions!$C$108/(Assumptions!$C$111-Assumptions!$C$110+1)</f>
        <v>0</v>
      </c>
      <c r="J38" s="38" t="n">
        <f aca="false">Assumptions!$C$108/(Assumptions!$C$111-Assumptions!$C$110+1)</f>
        <v>0</v>
      </c>
      <c r="K38" s="38" t="n">
        <f aca="false">Assumptions!$C$108/(Assumptions!$C$111-Assumptions!$C$110+1)</f>
        <v>0</v>
      </c>
      <c r="L38" s="38" t="n">
        <f aca="false">Assumptions!$C$108/(Assumptions!$C$111-Assumptions!$C$110+1)</f>
        <v>0</v>
      </c>
      <c r="M38" s="38" t="n">
        <f aca="false">Assumptions!$C$108/(Assumptions!$C$111-Assumptions!$C$110+1)</f>
        <v>0</v>
      </c>
    </row>
    <row r="39" customFormat="false" ht="15" hidden="false" customHeight="false" outlineLevel="0" collapsed="false">
      <c r="B39" s="18" t="s">
        <v>233</v>
      </c>
      <c r="D39" s="38" t="n">
        <f aca="false">MAX(0,Assumptions!$C$108-D38*MAX(0,MIN((2026)-Assumptions!$C$110,Assumptions!$C$111-Assumptions!$C$110+1)))</f>
        <v>0</v>
      </c>
      <c r="E39" s="38" t="n">
        <f aca="false">MAX(0,Assumptions!$C$108-E38*MAX(0,MIN((2027)-Assumptions!$C$110,Assumptions!$C$111-Assumptions!$C$110+1)))</f>
        <v>0</v>
      </c>
      <c r="F39" s="38" t="n">
        <f aca="false">MAX(0,Assumptions!$C$108-F38*MAX(0,MIN((2028)-Assumptions!$C$110,Assumptions!$C$111-Assumptions!$C$110+1)))</f>
        <v>0</v>
      </c>
      <c r="G39" s="38" t="n">
        <f aca="false">MAX(0,Assumptions!$C$108-G38*MAX(0,MIN((2029)-Assumptions!$C$110,Assumptions!$C$111-Assumptions!$C$110+1)))</f>
        <v>0</v>
      </c>
      <c r="H39" s="38" t="n">
        <f aca="false">MAX(0,Assumptions!$C$108-H38*MAX(0,MIN((2030)-Assumptions!$C$110,Assumptions!$C$111-Assumptions!$C$110+1)))</f>
        <v>0</v>
      </c>
      <c r="I39" s="38" t="n">
        <f aca="false">MAX(0,Assumptions!$C$108-I38*MAX(0,MIN((2031)-Assumptions!$C$110,Assumptions!$C$111-Assumptions!$C$110+1)))</f>
        <v>0</v>
      </c>
      <c r="J39" s="38" t="n">
        <f aca="false">MAX(0,Assumptions!$C$108-J38*MAX(0,MIN((2032)-Assumptions!$C$110,Assumptions!$C$111-Assumptions!$C$110+1)))</f>
        <v>0</v>
      </c>
      <c r="K39" s="38" t="n">
        <f aca="false">MAX(0,Assumptions!$C$108-K38*MAX(0,MIN((2033)-Assumptions!$C$110,Assumptions!$C$111-Assumptions!$C$110+1)))</f>
        <v>0</v>
      </c>
      <c r="L39" s="38" t="n">
        <f aca="false">MAX(0,Assumptions!$C$108-L38*MAX(0,MIN((2034)-Assumptions!$C$110,Assumptions!$C$111-Assumptions!$C$110+1)))</f>
        <v>0</v>
      </c>
      <c r="M39" s="38" t="n">
        <f aca="false">MAX(0,Assumptions!$C$108-M38*MAX(0,MIN((2035)-Assumptions!$C$110,Assumptions!$C$111-Assumptions!$C$110+1)))</f>
        <v>0</v>
      </c>
    </row>
    <row r="40" customFormat="false" ht="15" hidden="false" customHeight="false" outlineLevel="0" collapsed="false">
      <c r="B40" s="18" t="s">
        <v>234</v>
      </c>
      <c r="D40" s="38" t="n">
        <f aca="false">-IF(AND((2026)&gt;=Assumptions!$C$110,(2026)&lt;=Assumptions!$C$111),MIN(D39,D38),0)</f>
        <v>-0</v>
      </c>
      <c r="E40" s="38" t="n">
        <f aca="false">-IF(AND((2027)&gt;=Assumptions!$C$110,(2027)&lt;=Assumptions!$C$111),MIN(E39,E38),0)</f>
        <v>-0</v>
      </c>
      <c r="F40" s="38" t="n">
        <f aca="false">-IF(AND((2028)&gt;=Assumptions!$C$110,(2028)&lt;=Assumptions!$C$111),MIN(F39,F38),0)</f>
        <v>-0</v>
      </c>
      <c r="G40" s="38" t="n">
        <f aca="false">-IF(AND((2029)&gt;=Assumptions!$C$110,(2029)&lt;=Assumptions!$C$111),MIN(G39,G38),0)</f>
        <v>-0</v>
      </c>
      <c r="H40" s="38" t="n">
        <f aca="false">-IF(AND((2030)&gt;=Assumptions!$C$110,(2030)&lt;=Assumptions!$C$111),MIN(H39,H38),0)</f>
        <v>-0</v>
      </c>
      <c r="I40" s="38" t="n">
        <f aca="false">-IF(AND((2031)&gt;=Assumptions!$C$110,(2031)&lt;=Assumptions!$C$111),MIN(I39,I38),0)</f>
        <v>-0</v>
      </c>
      <c r="J40" s="38" t="n">
        <f aca="false">-IF(AND((2032)&gt;=Assumptions!$C$110,(2032)&lt;=Assumptions!$C$111),MIN(J39,J38),0)</f>
        <v>-0</v>
      </c>
      <c r="K40" s="38" t="n">
        <f aca="false">-IF(AND((2033)&gt;=Assumptions!$C$110,(2033)&lt;=Assumptions!$C$111),MIN(K39,K38),0)</f>
        <v>-0</v>
      </c>
      <c r="L40" s="38" t="n">
        <f aca="false">-IF(AND((2034)&gt;=Assumptions!$C$110,(2034)&lt;=Assumptions!$C$111),MIN(L39,L38),0)</f>
        <v>-0</v>
      </c>
      <c r="M40" s="38" t="n">
        <f aca="false">-IF(AND((2035)&gt;=Assumptions!$C$110,(2035)&lt;=Assumptions!$C$111),MIN(M39,M38),0)</f>
        <v>-0</v>
      </c>
    </row>
    <row r="41" customFormat="false" ht="15" hidden="false" customHeight="false" outlineLevel="0" collapsed="false">
      <c r="B41" s="21" t="s">
        <v>235</v>
      </c>
      <c r="D41" s="38" t="n">
        <f aca="false">-D39*Assumptions!$C$109</f>
        <v>-0</v>
      </c>
      <c r="E41" s="38" t="n">
        <f aca="false">-E39*Assumptions!$C$109</f>
        <v>-0</v>
      </c>
      <c r="F41" s="38" t="n">
        <f aca="false">-F39*Assumptions!$C$109</f>
        <v>-0</v>
      </c>
      <c r="G41" s="38" t="n">
        <f aca="false">-G39*Assumptions!$C$109</f>
        <v>-0</v>
      </c>
      <c r="H41" s="38" t="n">
        <f aca="false">-H39*Assumptions!$C$109</f>
        <v>-0</v>
      </c>
      <c r="I41" s="38" t="n">
        <f aca="false">-I39*Assumptions!$C$109</f>
        <v>-0</v>
      </c>
      <c r="J41" s="38" t="n">
        <f aca="false">-J39*Assumptions!$C$109</f>
        <v>-0</v>
      </c>
      <c r="K41" s="38" t="n">
        <f aca="false">-K39*Assumptions!$C$109</f>
        <v>-0</v>
      </c>
      <c r="L41" s="38" t="n">
        <f aca="false">-L39*Assumptions!$C$109</f>
        <v>-0</v>
      </c>
      <c r="M41" s="38" t="n">
        <f aca="false">-M39*Assumptions!$C$109</f>
        <v>-0</v>
      </c>
    </row>
    <row r="42" customFormat="false" ht="15" hidden="false" customHeight="false" outlineLevel="0" collapsed="false">
      <c r="B42" s="21" t="s">
        <v>236</v>
      </c>
      <c r="D42" s="38" t="n">
        <f aca="false">-Assumptions!$C$113*Assumptions!$C$100</f>
        <v>-45</v>
      </c>
      <c r="E42" s="38" t="n">
        <f aca="false">-Assumptions!$C$113*Assumptions!$C$100</f>
        <v>-45</v>
      </c>
      <c r="F42" s="38" t="n">
        <f aca="false">-Assumptions!$C$113*Assumptions!$C$100</f>
        <v>-45</v>
      </c>
      <c r="G42" s="38" t="n">
        <f aca="false">-Assumptions!$C$113*Assumptions!$C$100</f>
        <v>-45</v>
      </c>
      <c r="H42" s="38" t="n">
        <f aca="false">-Assumptions!$C$113*Assumptions!$C$100</f>
        <v>-45</v>
      </c>
      <c r="I42" s="38" t="n">
        <f aca="false">-Assumptions!$C$113*Assumptions!$C$100</f>
        <v>-45</v>
      </c>
      <c r="J42" s="38" t="n">
        <f aca="false">-Assumptions!$C$113*Assumptions!$C$100</f>
        <v>-45</v>
      </c>
      <c r="K42" s="38" t="n">
        <f aca="false">-Assumptions!$C$113*Assumptions!$C$100</f>
        <v>-45</v>
      </c>
      <c r="L42" s="38" t="n">
        <f aca="false">-Assumptions!$C$113*Assumptions!$C$100</f>
        <v>-45</v>
      </c>
      <c r="M42" s="38" t="n">
        <f aca="false">-Assumptions!$C$113*Assumptions!$C$100</f>
        <v>-45</v>
      </c>
    </row>
    <row r="43" customFormat="false" ht="15" hidden="false" customHeight="false" outlineLevel="0" collapsed="false">
      <c r="B43" s="55" t="s">
        <v>237</v>
      </c>
      <c r="D43" s="56" t="n">
        <f aca="false">D27+D36+D37+D41+D40+D42</f>
        <v>-379</v>
      </c>
      <c r="E43" s="56" t="n">
        <f aca="false">E27+E36+E37+E41+E40+E42</f>
        <v>-649</v>
      </c>
      <c r="F43" s="56" t="n">
        <f aca="false">F27+F36+F37+F41+F40+F42</f>
        <v>-208.64384712</v>
      </c>
      <c r="G43" s="56" t="n">
        <f aca="false">G27+G36+G37+G41+G40+G42</f>
        <v>382.94207864</v>
      </c>
      <c r="H43" s="56" t="n">
        <f aca="false">H27+H36+H37+H41+H40+H42</f>
        <v>398.76989296</v>
      </c>
      <c r="I43" s="56" t="n">
        <f aca="false">I27+I36+I37+I41+I40+I42</f>
        <v>304.91428576</v>
      </c>
      <c r="J43" s="56" t="n">
        <f aca="false">J27+J36+J37+J41+J40+J42</f>
        <v>136.22980936</v>
      </c>
      <c r="K43" s="56" t="n">
        <f aca="false">K27+K36+K37+K41+K40+K42</f>
        <v>-66.9185924</v>
      </c>
      <c r="L43" s="56" t="n">
        <f aca="false">L27+L36+L37+L41+L40+L42</f>
        <v>-68.4482741600006</v>
      </c>
      <c r="M43" s="56" t="n">
        <f aca="false">M27+M36+M37+M41+M40+M42</f>
        <v>-69.9779559199998</v>
      </c>
    </row>
    <row r="44" customFormat="false" ht="15" hidden="false" customHeight="false" outlineLevel="0" collapsed="false">
      <c r="B44" s="21" t="s">
        <v>238</v>
      </c>
      <c r="D44" s="66" t="n">
        <f aca="false">SKOT!D19-SKOT!D15+SKOT!D32</f>
        <v>0</v>
      </c>
      <c r="E44" s="66" t="n">
        <f aca="false">SKOT!E19-SKOT!E15+SKOT!E32</f>
        <v>0</v>
      </c>
      <c r="F44" s="66" t="n">
        <f aca="false">SKOT!F19-SKOT!F15+SKOT!F32</f>
        <v>448.74648</v>
      </c>
      <c r="G44" s="66" t="n">
        <f aca="false">SKOT!G19-SKOT!G15+SKOT!G32</f>
        <v>703.661904</v>
      </c>
      <c r="H44" s="66" t="n">
        <f aca="false">SKOT!H19-SKOT!H15+SKOT!H32</f>
        <v>706.536432</v>
      </c>
      <c r="I44" s="66" t="n">
        <f aca="false">SKOT!I19-SKOT!I15+SKOT!I32</f>
        <v>591.432192</v>
      </c>
      <c r="J44" s="66" t="n">
        <f aca="false">SKOT!J19-SKOT!J15+SKOT!J32</f>
        <v>398.856312</v>
      </c>
      <c r="K44" s="66" t="n">
        <f aca="false">SKOT!K19-SKOT!K15+SKOT!K32</f>
        <v>169.31592</v>
      </c>
      <c r="L44" s="66" t="n">
        <f aca="false">SKOT!L19-SKOT!L15+SKOT!L32</f>
        <v>166.980527999999</v>
      </c>
      <c r="M44" s="66" t="n">
        <f aca="false">SKOT!M19-SKOT!M15+SKOT!M32</f>
        <v>164.645136</v>
      </c>
    </row>
    <row r="45" customFormat="false" ht="15" hidden="false" customHeight="false" outlineLevel="0" collapsed="false">
      <c r="B45" s="18" t="s">
        <v>239</v>
      </c>
      <c r="D45" s="38" t="n">
        <f aca="false">-D36-D41-D40</f>
        <v>200</v>
      </c>
      <c r="E45" s="38" t="n">
        <f aca="false">-E36-E41-E40</f>
        <v>200</v>
      </c>
      <c r="F45" s="38" t="n">
        <f aca="false">-F36-F41-F40</f>
        <v>200</v>
      </c>
      <c r="G45" s="38" t="n">
        <f aca="false">-G36-G41-G40</f>
        <v>200</v>
      </c>
      <c r="H45" s="38" t="n">
        <f aca="false">-H36-H41-H40</f>
        <v>200</v>
      </c>
      <c r="I45" s="38" t="n">
        <f aca="false">-I36-I41-I40</f>
        <v>200</v>
      </c>
      <c r="J45" s="38" t="n">
        <f aca="false">-J36-J41-J40</f>
        <v>200</v>
      </c>
      <c r="K45" s="38" t="n">
        <f aca="false">-K36-K41-K40</f>
        <v>200</v>
      </c>
      <c r="L45" s="38" t="n">
        <f aca="false">-L36-L41-L40</f>
        <v>200</v>
      </c>
      <c r="M45" s="38" t="n">
        <f aca="false">-M36-M41-M40</f>
        <v>200</v>
      </c>
    </row>
    <row r="46" customFormat="false" ht="15" hidden="false" customHeight="false" outlineLevel="0" collapsed="false">
      <c r="B46" s="21" t="s">
        <v>240</v>
      </c>
      <c r="D46" s="67" t="n">
        <f aca="false">IF(D45=0,0,D44/D45)</f>
        <v>0</v>
      </c>
      <c r="E46" s="67" t="n">
        <f aca="false">IF(E45=0,0,E44/E45)</f>
        <v>0</v>
      </c>
      <c r="F46" s="67" t="n">
        <f aca="false">IF(F45=0,0,F44/F45)</f>
        <v>2.2437324</v>
      </c>
      <c r="G46" s="67" t="n">
        <f aca="false">IF(G45=0,0,G44/G45)</f>
        <v>3.51830952</v>
      </c>
      <c r="H46" s="67" t="n">
        <f aca="false">IF(H45=0,0,H44/H45)</f>
        <v>3.53268216</v>
      </c>
      <c r="I46" s="67" t="n">
        <f aca="false">IF(I45=0,0,I44/I45)</f>
        <v>2.95716096</v>
      </c>
      <c r="J46" s="67" t="n">
        <f aca="false">IF(J45=0,0,J44/J45)</f>
        <v>1.99428156</v>
      </c>
      <c r="K46" s="67" t="n">
        <f aca="false">IF(K45=0,0,K44/K45)</f>
        <v>0.8465796</v>
      </c>
      <c r="L46" s="67" t="n">
        <f aca="false">IF(L45=0,0,L44/L45)</f>
        <v>0.834902639999996</v>
      </c>
      <c r="M46" s="67" t="n">
        <f aca="false">IF(M45=0,0,M44/M45)</f>
        <v>0.823225680000001</v>
      </c>
    </row>
    <row r="47" customFormat="false" ht="15" hidden="false" customHeight="false" outlineLevel="0" collapsed="false">
      <c r="B47" s="68" t="s">
        <v>241</v>
      </c>
      <c r="D47" s="59" t="n">
        <f aca="false">D35+D43</f>
        <v>-604.48</v>
      </c>
      <c r="E47" s="59" t="n">
        <f aca="false">E35+E43</f>
        <v>-706.593116</v>
      </c>
      <c r="F47" s="59" t="n">
        <f aca="false">F35+F43</f>
        <v>143.811683280001</v>
      </c>
      <c r="G47" s="59" t="n">
        <f aca="false">G35+G43</f>
        <v>975.626978</v>
      </c>
      <c r="H47" s="59" t="n">
        <f aca="false">H35+H43</f>
        <v>928.850025472</v>
      </c>
      <c r="I47" s="59" t="n">
        <f aca="false">I35+I43</f>
        <v>715.383373792</v>
      </c>
      <c r="J47" s="59" t="n">
        <f aca="false">J35+J43</f>
        <v>389.886208240001</v>
      </c>
      <c r="K47" s="59" t="n">
        <f aca="false">K35+K43</f>
        <v>17.1030723999998</v>
      </c>
      <c r="L47" s="59" t="n">
        <f aca="false">L35+L43</f>
        <v>13.8680965599995</v>
      </c>
      <c r="M47" s="59" t="n">
        <f aca="false">M35+M43</f>
        <v>10.63312072</v>
      </c>
    </row>
    <row r="48" customFormat="false" ht="15" hidden="false" customHeight="false" outlineLevel="0" collapsed="false">
      <c r="B48" s="21" t="s">
        <v>242</v>
      </c>
      <c r="D48" s="69" t="n">
        <f aca="false">1/(1+Assumptions!$C$91)^((1)-Assumptions!$C$94)</f>
        <v>0.940720868383597</v>
      </c>
      <c r="E48" s="69" t="n">
        <f aca="false">1/(1+Assumptions!$C$91)^((2)-Assumptions!$C$94)</f>
        <v>0.832496343702299</v>
      </c>
      <c r="F48" s="69" t="n">
        <f aca="false">1/(1+Assumptions!$C$91)^((3)-Assumptions!$C$94)</f>
        <v>0.736722428055132</v>
      </c>
      <c r="G48" s="69" t="n">
        <f aca="false">1/(1+Assumptions!$C$91)^((4)-Assumptions!$C$94)</f>
        <v>0.651966750491267</v>
      </c>
      <c r="H48" s="69" t="n">
        <f aca="false">1/(1+Assumptions!$C$91)^((5)-Assumptions!$C$94)</f>
        <v>0.576961726098466</v>
      </c>
      <c r="I48" s="69" t="n">
        <f aca="false">1/(1+Assumptions!$C$91)^((6)-Assumptions!$C$94)</f>
        <v>0.510585598317227</v>
      </c>
      <c r="J48" s="69" t="n">
        <f aca="false">1/(1+Assumptions!$C$91)^((7)-Assumptions!$C$94)</f>
        <v>0.451845662227634</v>
      </c>
      <c r="K48" s="69" t="n">
        <f aca="false">1/(1+Assumptions!$C$91)^((8)-Assumptions!$C$94)</f>
        <v>0.399863417900562</v>
      </c>
      <c r="L48" s="69" t="n">
        <f aca="false">1/(1+Assumptions!$C$91)^((9)-Assumptions!$C$94)</f>
        <v>0.353861431770408</v>
      </c>
      <c r="M48" s="69" t="n">
        <f aca="false">1/(1+Assumptions!$C$91)^((10)-Assumptions!$C$94)</f>
        <v>0.313151709531335</v>
      </c>
    </row>
    <row r="49" customFormat="false" ht="15" hidden="false" customHeight="false" outlineLevel="0" collapsed="false">
      <c r="B49" s="65" t="s">
        <v>243</v>
      </c>
      <c r="D49" s="39" t="n">
        <f aca="false">D47*D48</f>
        <v>-568.646950520517</v>
      </c>
      <c r="E49" s="39" t="n">
        <f aca="false">E47*E48</f>
        <v>-588.236185555214</v>
      </c>
      <c r="F49" s="39" t="n">
        <f aca="false">F47*F48</f>
        <v>105.949292488738</v>
      </c>
      <c r="G49" s="39" t="n">
        <f aca="false">G47*G48</f>
        <v>636.076350538275</v>
      </c>
      <c r="H49" s="39" t="n">
        <f aca="false">H47*H48</f>
        <v>535.91091398293</v>
      </c>
      <c r="I49" s="39" t="n">
        <f aca="false">I47*I48</f>
        <v>365.264447933785</v>
      </c>
      <c r="J49" s="39" t="n">
        <f aca="false">J47*J48</f>
        <v>176.168391955624</v>
      </c>
      <c r="K49" s="39" t="n">
        <f aca="false">K47*K48</f>
        <v>6.83889298646469</v>
      </c>
      <c r="L49" s="39" t="n">
        <f aca="false">L47*L48</f>
        <v>4.90738450465169</v>
      </c>
      <c r="M49" s="39" t="n">
        <f aca="false">M47*M48</f>
        <v>3.32977993112107</v>
      </c>
    </row>
    <row r="50" customFormat="false" ht="15" hidden="false" customHeight="false" outlineLevel="0" collapsed="false">
      <c r="B50" s="8" t="s">
        <v>244</v>
      </c>
    </row>
    <row r="52" customFormat="false" ht="15" hidden="false" customHeight="false" outlineLevel="0" collapsed="false">
      <c r="B52" s="4" t="s">
        <v>245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</row>
    <row r="53" customFormat="false" ht="15" hidden="false" customHeight="false" outlineLevel="0" collapsed="false">
      <c r="B53" s="15" t="s">
        <v>170</v>
      </c>
      <c r="C53" s="16"/>
      <c r="D53" s="17" t="s">
        <v>13</v>
      </c>
      <c r="E53" s="17" t="s">
        <v>14</v>
      </c>
      <c r="F53" s="17" t="s">
        <v>15</v>
      </c>
      <c r="G53" s="17" t="s">
        <v>16</v>
      </c>
      <c r="H53" s="17" t="s">
        <v>17</v>
      </c>
      <c r="I53" s="17" t="s">
        <v>18</v>
      </c>
      <c r="J53" s="17" t="s">
        <v>19</v>
      </c>
      <c r="K53" s="17" t="s">
        <v>20</v>
      </c>
      <c r="L53" s="17" t="s">
        <v>21</v>
      </c>
      <c r="M53" s="17" t="s">
        <v>22</v>
      </c>
    </row>
    <row r="54" customFormat="false" ht="15" hidden="false" customHeight="false" outlineLevel="0" collapsed="false">
      <c r="B54" s="21" t="s">
        <v>246</v>
      </c>
      <c r="D54" s="70" t="n">
        <f aca="false">(1)-Assumptions!$C$94</f>
        <v>0.5</v>
      </c>
      <c r="E54" s="70" t="n">
        <f aca="false">(2)-Assumptions!$C$94</f>
        <v>1.5</v>
      </c>
      <c r="F54" s="70" t="n">
        <f aca="false">(3)-Assumptions!$C$94</f>
        <v>2.5</v>
      </c>
      <c r="G54" s="70" t="n">
        <f aca="false">(4)-Assumptions!$C$94</f>
        <v>3.5</v>
      </c>
      <c r="H54" s="70" t="n">
        <f aca="false">(5)-Assumptions!$C$94</f>
        <v>4.5</v>
      </c>
      <c r="I54" s="70" t="n">
        <f aca="false">(6)-Assumptions!$C$94</f>
        <v>5.5</v>
      </c>
      <c r="J54" s="70" t="n">
        <f aca="false">(7)-Assumptions!$C$94</f>
        <v>6.5</v>
      </c>
      <c r="K54" s="70" t="n">
        <f aca="false">(8)-Assumptions!$C$94</f>
        <v>7.5</v>
      </c>
      <c r="L54" s="70" t="n">
        <f aca="false">(9)-Assumptions!$C$94</f>
        <v>8.5</v>
      </c>
      <c r="M54" s="70" t="n">
        <f aca="false">(10)-Assumptions!$C$94</f>
        <v>9.5</v>
      </c>
    </row>
    <row r="55" customFormat="false" ht="15" hidden="false" customHeight="false" outlineLevel="0" collapsed="false">
      <c r="B55" s="21" t="s">
        <v>247</v>
      </c>
      <c r="D55" s="69" t="n">
        <f aca="false">1/(1+Assumptions!$C$90)^D54</f>
        <v>0.951302988308988</v>
      </c>
      <c r="E55" s="69" t="n">
        <f aca="false">1/(1+Assumptions!$C$90)^E54</f>
        <v>0.860907681727591</v>
      </c>
      <c r="F55" s="69" t="n">
        <f aca="false">1/(1+Assumptions!$C$90)^F54</f>
        <v>0.77910197441411</v>
      </c>
      <c r="G55" s="69" t="n">
        <f aca="false">1/(1+Assumptions!$C$90)^G54</f>
        <v>0.705069660103267</v>
      </c>
      <c r="H55" s="69" t="n">
        <f aca="false">1/(1+Assumptions!$C$90)^H54</f>
        <v>0.638072090591192</v>
      </c>
      <c r="I55" s="69" t="n">
        <f aca="false">1/(1+Assumptions!$C$90)^I54</f>
        <v>0.577440805964879</v>
      </c>
      <c r="J55" s="69" t="n">
        <f aca="false">1/(1+Assumptions!$C$90)^J54</f>
        <v>0.522570865126588</v>
      </c>
      <c r="K55" s="69" t="n">
        <f aca="false">1/(1+Assumptions!$C$90)^K54</f>
        <v>0.47291481006931</v>
      </c>
      <c r="L55" s="69" t="n">
        <f aca="false">1/(1+Assumptions!$C$90)^L54</f>
        <v>0.427977203682634</v>
      </c>
      <c r="M55" s="69" t="n">
        <f aca="false">1/(1+Assumptions!$C$90)^M54</f>
        <v>0.387309686590619</v>
      </c>
    </row>
    <row r="56" customFormat="false" ht="15" hidden="false" customHeight="false" outlineLevel="0" collapsed="false">
      <c r="B56" s="65" t="s">
        <v>248</v>
      </c>
      <c r="D56" s="39" t="n">
        <f aca="false">D28*D55</f>
        <v>-342.469075791236</v>
      </c>
      <c r="E56" s="39" t="n">
        <f aca="false">E28*E55</f>
        <v>-397.836731391473</v>
      </c>
      <c r="F56" s="39" t="n">
        <f aca="false">F28*F55</f>
        <v>302.518817092027</v>
      </c>
      <c r="G56" s="39" t="n">
        <f aca="false">G28*G55</f>
        <v>860.260412268084</v>
      </c>
      <c r="H56" s="39" t="n">
        <f aca="false">H28*H55</f>
        <v>748.669142306335</v>
      </c>
      <c r="I56" s="39" t="n">
        <f aca="false">I28*I55</f>
        <v>554.264280178621</v>
      </c>
      <c r="J56" s="39" t="n">
        <f aca="false">J28*J55</f>
        <v>331.50129824705</v>
      </c>
      <c r="K56" s="39" t="n">
        <f aca="false">K28*K55</f>
        <v>123.706509001392</v>
      </c>
      <c r="L56" s="39" t="n">
        <f aca="false">L28*L55</f>
        <v>110.56709594248</v>
      </c>
      <c r="M56" s="39" t="n">
        <f aca="false">M28*M55</f>
        <v>98.8077828312179</v>
      </c>
    </row>
    <row r="58" customFormat="false" ht="15" hidden="false" customHeight="false" outlineLevel="0" collapsed="false">
      <c r="B58" s="71" t="s">
        <v>249</v>
      </c>
      <c r="C58" s="5"/>
      <c r="D58" s="5"/>
      <c r="E58" s="5"/>
    </row>
    <row r="59" customFormat="false" ht="15" hidden="false" customHeight="false" outlineLevel="0" collapsed="false">
      <c r="B59" s="21" t="s">
        <v>250</v>
      </c>
      <c r="D59" s="38" t="n">
        <f aca="false">SUM(D56:M56)</f>
        <v>2389.9895306845</v>
      </c>
    </row>
    <row r="60" customFormat="false" ht="15" hidden="false" customHeight="false" outlineLevel="0" collapsed="false">
      <c r="B60" s="21" t="s">
        <v>251</v>
      </c>
      <c r="D60" s="38" t="n">
        <f aca="false">M28*(1+Assumptions!$C$92)/(Assumptions!$C$90-Assumptions!$C$92)</f>
        <v>3061.35744864</v>
      </c>
    </row>
    <row r="61" customFormat="false" ht="15" hidden="false" customHeight="false" outlineLevel="0" collapsed="false">
      <c r="B61" s="21" t="s">
        <v>252</v>
      </c>
      <c r="D61" s="38" t="n">
        <f aca="false">D60*M55</f>
        <v>1185.69339397461</v>
      </c>
    </row>
    <row r="62" customFormat="false" ht="15" hidden="false" customHeight="false" outlineLevel="0" collapsed="false">
      <c r="B62" s="72" t="s">
        <v>253</v>
      </c>
      <c r="D62" s="73" t="n">
        <f aca="false">D59+D61</f>
        <v>3575.68292465911</v>
      </c>
    </row>
    <row r="63" customFormat="false" ht="15" hidden="false" customHeight="false" outlineLevel="0" collapsed="false">
      <c r="B63" s="21" t="s">
        <v>254</v>
      </c>
      <c r="D63" s="38" t="n">
        <f aca="false">-Assumptions!$C$93</f>
        <v>-6000</v>
      </c>
    </row>
    <row r="64" customFormat="false" ht="15" hidden="false" customHeight="false" outlineLevel="0" collapsed="false">
      <c r="B64" s="71" t="s">
        <v>255</v>
      </c>
      <c r="D64" s="74" t="n">
        <f aca="false">D62-Assumptions!$C$93</f>
        <v>-2424.31707534089</v>
      </c>
    </row>
    <row r="66" customFormat="false" ht="15" hidden="false" customHeight="false" outlineLevel="0" collapsed="false">
      <c r="B66" s="2" t="s">
        <v>256</v>
      </c>
      <c r="D66" s="75" t="n">
        <f aca="false">D61/D62</f>
        <v>0.331599143144845</v>
      </c>
    </row>
    <row r="68" customFormat="false" ht="15" hidden="false" customHeight="false" outlineLevel="0" collapsed="false">
      <c r="B68" s="71" t="s">
        <v>257</v>
      </c>
      <c r="C68" s="5"/>
      <c r="D68" s="5"/>
      <c r="E68" s="5"/>
    </row>
    <row r="69" customFormat="false" ht="15" hidden="false" customHeight="false" outlineLevel="0" collapsed="false">
      <c r="B69" s="21" t="s">
        <v>258</v>
      </c>
      <c r="D69" s="38" t="n">
        <f aca="false">SUM(D49:M49)</f>
        <v>677.562318245858</v>
      </c>
    </row>
    <row r="70" customFormat="false" ht="15" hidden="false" customHeight="false" outlineLevel="0" collapsed="false">
      <c r="B70" s="21" t="s">
        <v>259</v>
      </c>
      <c r="D70" s="38" t="n">
        <f aca="false">M47*(1+Assumptions!$C$92)/(Assumptions!$C$91-Assumptions!$C$92)</f>
        <v>98.5980284945457</v>
      </c>
    </row>
    <row r="71" customFormat="false" ht="15" hidden="false" customHeight="false" outlineLevel="0" collapsed="false">
      <c r="B71" s="21" t="s">
        <v>260</v>
      </c>
      <c r="D71" s="38" t="n">
        <f aca="false">D70*1/(1+Assumptions!$C$91)^((10)-Assumptions!$C$94)</f>
        <v>30.8761411794863</v>
      </c>
    </row>
    <row r="72" customFormat="false" ht="15" hidden="false" customHeight="false" outlineLevel="0" collapsed="false">
      <c r="B72" s="72" t="s">
        <v>261</v>
      </c>
      <c r="D72" s="73" t="n">
        <f aca="false">D69+D71</f>
        <v>708.438459425344</v>
      </c>
    </row>
    <row r="73" customFormat="false" ht="15" hidden="false" customHeight="false" outlineLevel="0" collapsed="false">
      <c r="B73" s="2" t="s">
        <v>262</v>
      </c>
      <c r="D73" s="76" t="n">
        <f aca="false">D64</f>
        <v>-2424.31707534089</v>
      </c>
    </row>
    <row r="74" customFormat="false" ht="15" hidden="false" customHeight="false" outlineLevel="0" collapsed="false">
      <c r="B74" s="51" t="s">
        <v>263</v>
      </c>
    </row>
    <row r="76" customFormat="false" ht="15" hidden="false" customHeight="false" outlineLevel="0" collapsed="false">
      <c r="B76" s="43" t="s">
        <v>264</v>
      </c>
      <c r="C76" s="44"/>
      <c r="D76" s="44"/>
      <c r="E76" s="44"/>
    </row>
    <row r="77" customFormat="false" ht="15" hidden="false" customHeight="false" outlineLevel="0" collapsed="false">
      <c r="B77" s="21" t="s">
        <v>265</v>
      </c>
      <c r="D77" s="66" t="n">
        <f aca="false">Assumptions!$C$118</f>
        <v>2000</v>
      </c>
    </row>
    <row r="78" customFormat="false" ht="15" hidden="false" customHeight="false" outlineLevel="0" collapsed="false">
      <c r="B78" s="21" t="s">
        <v>266</v>
      </c>
      <c r="D78" s="66" t="n">
        <f aca="false">Assumptions!$C$119</f>
        <v>3000</v>
      </c>
    </row>
    <row r="79" customFormat="false" ht="15" hidden="false" customHeight="false" outlineLevel="0" collapsed="false">
      <c r="B79" s="77" t="s">
        <v>267</v>
      </c>
      <c r="D79" s="78" t="n">
        <f aca="false">Assumptions!$C$118+Assumptions!$C$119</f>
        <v>5000</v>
      </c>
    </row>
    <row r="80" customFormat="false" ht="15" hidden="false" customHeight="false" outlineLevel="0" collapsed="false">
      <c r="B80" s="65" t="s">
        <v>268</v>
      </c>
      <c r="D80" s="79" t="n">
        <f aca="false">D64</f>
        <v>-2424.31707534089</v>
      </c>
    </row>
    <row r="81" customFormat="false" ht="15" hidden="false" customHeight="false" outlineLevel="0" collapsed="false">
      <c r="B81" s="53" t="s">
        <v>269</v>
      </c>
      <c r="D81" s="76" t="n">
        <f aca="false">(Assumptions!$C$118+Assumptions!$C$119)-D64</f>
        <v>7424.31707534089</v>
      </c>
    </row>
    <row r="82" customFormat="false" ht="15" hidden="false" customHeight="false" outlineLevel="0" collapsed="false">
      <c r="B82" s="51" t="s">
        <v>270</v>
      </c>
    </row>
    <row r="83" customFormat="false" ht="15" hidden="false" customHeight="false" outlineLevel="0" collapsed="false">
      <c r="B83" s="8" t="s">
        <v>271</v>
      </c>
    </row>
    <row r="85" customFormat="false" ht="15" hidden="false" customHeight="false" outlineLevel="0" collapsed="false">
      <c r="B85" s="4" t="s">
        <v>272</v>
      </c>
      <c r="C85" s="5"/>
      <c r="D85" s="5"/>
      <c r="E85" s="5"/>
    </row>
    <row r="86" customFormat="false" ht="15" hidden="false" customHeight="false" outlineLevel="0" collapsed="false">
      <c r="B86" s="21" t="s">
        <v>273</v>
      </c>
      <c r="D86" s="66" t="n">
        <f aca="false">G21</f>
        <v>349.854696</v>
      </c>
    </row>
    <row r="87" customFormat="false" ht="15" hidden="false" customHeight="false" outlineLevel="0" collapsed="false">
      <c r="B87" s="21" t="s">
        <v>274</v>
      </c>
      <c r="D87" s="66" t="n">
        <f aca="false">AVERAGE(H21:J21)</f>
        <v>440.735986666667</v>
      </c>
    </row>
    <row r="88" customFormat="false" ht="15" hidden="false" customHeight="false" outlineLevel="0" collapsed="false">
      <c r="B88" s="80" t="s">
        <v>275</v>
      </c>
      <c r="D88" s="81" t="n">
        <v>8</v>
      </c>
      <c r="E88" s="81" t="n">
        <v>11</v>
      </c>
      <c r="F88" s="81" t="n">
        <v>14</v>
      </c>
    </row>
    <row r="89" customFormat="false" ht="15" hidden="false" customHeight="false" outlineLevel="0" collapsed="false">
      <c r="G89" s="8" t="s">
        <v>276</v>
      </c>
    </row>
    <row r="90" customFormat="false" ht="15" hidden="false" customHeight="false" outlineLevel="0" collapsed="false">
      <c r="B90" s="82" t="s">
        <v>277</v>
      </c>
      <c r="D90" s="79" t="n">
        <f aca="false">$D$86*D88</f>
        <v>2798.837568</v>
      </c>
      <c r="E90" s="79" t="n">
        <f aca="false">$D$86*E88</f>
        <v>3848.401656</v>
      </c>
      <c r="F90" s="79" t="n">
        <f aca="false">$D$86*F88</f>
        <v>4897.965744</v>
      </c>
    </row>
    <row r="91" customFormat="false" ht="15" hidden="false" customHeight="false" outlineLevel="0" collapsed="false">
      <c r="B91" s="82" t="s">
        <v>278</v>
      </c>
      <c r="D91" s="79" t="n">
        <f aca="false">$D$87*D88</f>
        <v>3525.88789333334</v>
      </c>
      <c r="E91" s="79" t="n">
        <f aca="false">$D$87*E88</f>
        <v>4848.09585333334</v>
      </c>
      <c r="F91" s="79" t="n">
        <f aca="false">$D$87*F88</f>
        <v>6170.30381333334</v>
      </c>
    </row>
    <row r="92" customFormat="false" ht="15" hidden="false" customHeight="false" outlineLevel="0" collapsed="false">
      <c r="B92" s="2" t="s">
        <v>279</v>
      </c>
      <c r="D92" s="76" t="n">
        <f aca="false">D62</f>
        <v>3575.68292465911</v>
      </c>
    </row>
    <row r="93" customFormat="false" ht="15" hidden="false" customHeight="false" outlineLevel="0" collapsed="false">
      <c r="B93" s="51" t="s">
        <v>280</v>
      </c>
    </row>
    <row r="94" customFormat="false" ht="15" hidden="false" customHeight="false" outlineLevel="0" collapsed="false">
      <c r="B94" s="8" t="s">
        <v>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2026-06-30T14:09:24Z</dcterms:created>
  <dc:creator>openpyxl</dc:creator>
  <dc:description/>
  <dc:language>en-US</dc:language>
  <cp:lastModifiedBy/>
  <dcterms:modified xsi:type="dcterms:W3CDTF">2026-06-30T14:09:24Z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