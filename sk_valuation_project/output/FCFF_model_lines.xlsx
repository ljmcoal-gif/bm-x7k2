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<sst xmlns="http://schemas.openxmlformats.org/spreadsheetml/2006/main" count="479" uniqueCount="285">
  <si>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</si>
  <si>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</si>
  <si>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</si>
  <si>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</si>
  <si>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</si>
  <si>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</si>
  <si>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</si>
  <si>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</si>
  <si>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</si>
  <si>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</si>
  <si>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</si>
  <si>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</si>
  <si>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</si>
  <si>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</si>
  <si>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</si>
  <si>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</si>
  <si>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</si>
  <si>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</si>
  <si>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</si>
  <si>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</si>
  <si>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</si>
  <si>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</si>
  <si>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</si>
  <si>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</si>
  <si>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</si>
  <si>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</si>
  <si>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</si>
  <si>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</si>
  <si>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</si>
  <si>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</si>
  <si>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</si>
  <si>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</si>
  <si>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</si>
  <si>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</si>
  <si>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</si>
  <si>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</si>
  <si>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</si>
  <si>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</si>
  <si>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</si>
  <si>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</si>
  <si>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</si>
  <si>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</si>
  <si>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</si>
  <si>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</si>
  <si>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</si>
  <si>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</si>
  <si>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</si>
  <si>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</si>
  <si>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</si>
  <si>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</si>
  <si>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</si>
  <si>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</si>
  <si>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</si>
  <si>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</si>
  <si>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</si>
  <si>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</si>
  <si>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</si>
  <si>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</si>
  <si>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</si>
  <si>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</si>
  <si>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</si>
  <si>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</si>
  <si>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</si>
  <si>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</si>
  <si>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</si>
  <si>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</si>
  <si>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</si>
  <si>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</si>
  <si>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</si>
  <si>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</si>
  <si>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</si>
  <si>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</si>
  <si>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</si>
  <si>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</si>
  <si>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</si>
  <si>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</si>
  <si>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</si>
  <si>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</si>
  <si>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</si>
  <si>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</si>
  <si>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</si>
  <si>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</si>
  <si>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</si>
  <si>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</si>
  <si>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</si>
  <si>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</si>
  <si>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</si>
  <si>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</si>
  <si>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</si>
  <si>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</si>
  <si>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</si>
  <si>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</si>
  <si>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</si>
  <si>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</si>
  <si>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</si>
  <si>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</si>
  <si>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</si>
  <si>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</si>
  <si>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</si>
  <si>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</si>
  <si>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</si>
  <si>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</si>
  <si>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</si>
  <si>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</si>
  <si>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</si>
  <si>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</si>
  <si>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</si>
  <si>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</si>
  <si>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</si>
  <si>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</si>
  <si>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</si>
  <si>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</si>
  <si>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</si>
  <si>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</si>
  <si>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</si>
  <si>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</si>
  <si>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</si>
  <si>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</si>
  <si>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</si>
  <si>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</si>
  <si>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</si>
  <si>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</si>
  <si>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</si>
  <si>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</si>
  <si>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</si>
  <si>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</si>
  <si>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</si>
  <si>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</si>
  <si>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</si>
  <si>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</si>
  <si>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</si>
  <si>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</si>
  <si>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</si>
  <si>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</si>
  <si>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</si>
  <si>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</si>
  <si>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</si>
  <si>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</si>
  <si>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</si>
  <si>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</si>
  <si>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</si>
  <si>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</si>
  <si>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</si>
  <si>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</si>
  <si>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</si>
  <si>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</si>
  <si>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</si>
  <si>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</si>
  <si>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</si>
  <si>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</si>
  <si>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</si>
  <si>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</si>
  <si>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</si>
  <si>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</si>
  <si>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</si>
  <si>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</si>
  <si>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</si>
  <si>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</si>
  <si>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</si>
  <si>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</si>
  <si>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</si>
  <si>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</si>
  <si>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</si>
  <si>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</si>
  <si>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</si>
  <si>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</si>
  <si>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</si>
  <si>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</si>
  <si>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</si>
  <si>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</si>
  <si>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</si>
  <si>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</si>
  <si>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</si>
  <si>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</si>
  <si>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</si>
  <si>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</si>
  <si>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</si>
  <si>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</si>
  <si>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</si>
  <si>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</si>
  <si>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</si>
  <si>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</si>
  <si>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</rPr>
      <t xml:space="preserve">보정 </t>
    </r>
    <r>
      <rPr>
        <sz val="10"/>
        <color rgb="FF000000"/>
        <rFont val="Arial"/>
        <family val="0"/>
        <charset val="1"/>
      </rPr>
      <t xml:space="preserve">(pre-SOP)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</si>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</sst>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722.92</c:v>
                </c:pt>
                <c:pt idx="3">
                  <c:v>1643</c:v>
                </c:pt>
                <c:pt idx="4">
                  <c:v>1946.16</c:v>
                </c:pt>
                <c:pt idx="5">
                  <c:v>2176.816</c:v>
                </c:pt>
                <c:pt idx="6">
                  <c:v>2249.0656</c:v>
                </c:pt>
                <c:pt idx="7">
                  <c:v>2243.808</c:v>
                </c:pt>
                <c:pt idx="8">
                  <c:v>2213.28</c:v>
                </c:pt>
                <c:pt idx="9">
                  <c:v>2182.752</c:v>
                </c:pt>
                <c:pt idx="10">
                  <c:v>2152.224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1242.108</c:v>
                </c:pt>
                <c:pt idx="4">
                  <c:v>1926.6984</c:v>
                </c:pt>
                <c:pt idx="5">
                  <c:v>2420.1072</c:v>
                </c:pt>
                <c:pt idx="6">
                  <c:v>2729.2032</c:v>
                </c:pt>
                <c:pt idx="7">
                  <c:v>2860.8552</c:v>
                </c:pt>
                <c:pt idx="8">
                  <c:v>2821.932</c:v>
                </c:pt>
                <c:pt idx="9">
                  <c:v>2783.0088</c:v>
                </c:pt>
                <c:pt idx="10">
                  <c:v>2744.0856</c:v>
                </c:pt>
              </c:numCache>
            </c:numRef>
          </c:val>
        </c:ser>
        <c:gapWidth val="150"/>
        <c:overlap val="100"/>
        <c:axId val="38045476"/>
        <c:axId val="76172954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-340.279684</c:v>
                </c:pt>
                <c:pt idx="3">
                  <c:v>436.14279688</c:v>
                </c:pt>
                <c:pt idx="4">
                  <c:v>1242.57192264</c:v>
                </c:pt>
                <c:pt idx="5">
                  <c:v>1176.49565696</c:v>
                </c:pt>
                <c:pt idx="6">
                  <c:v>959.863373792</c:v>
                </c:pt>
                <c:pt idx="7">
                  <c:v>634.366208240001</c:v>
                </c:pt>
                <c:pt idx="8">
                  <c:v>262.3508516</c:v>
                </c:pt>
                <c:pt idx="9">
                  <c:v>261.737009839999</c:v>
                </c:pt>
                <c:pt idx="10">
                  <c:v>261.12316808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045476"/>
        <c:axId val="76172954"/>
      </c:lineChart>
      <c:catAx>
        <c:axId val="38045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72954"/>
        <c:crosses val="autoZero"/>
        <c:auto val="1"/>
        <c:lblAlgn val="ctr"/>
        <c:lblOffset val="100"/>
        <c:noMultiLvlLbl val="0"/>
      </c:catAx>
      <c:valAx>
        <c:axId val="761729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45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0.8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</v>
      </c>
      <c r="G31" s="20" t="n">
        <v>0.8</v>
      </c>
      <c r="H31" s="20" t="n">
        <v>0.88</v>
      </c>
      <c r="I31" s="20" t="n">
        <v>0.9</v>
      </c>
      <c r="J31" s="20" t="n">
        <v>0.9</v>
      </c>
      <c r="K31" s="20" t="n">
        <v>0.9</v>
      </c>
      <c r="L31" s="20" t="n">
        <v>0.9</v>
      </c>
      <c r="M31" s="20" t="n">
        <v>0.9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2.332</v>
      </c>
      <c r="F32" s="37" t="n">
        <f aca="false">F30*F31*$C$6</f>
        <v>2.968</v>
      </c>
      <c r="G32" s="37" t="n">
        <f aca="false">G30*G31*$C$6</f>
        <v>3.392</v>
      </c>
      <c r="H32" s="37" t="n">
        <f aca="false">H30*H31*$C$6</f>
        <v>3.7312</v>
      </c>
      <c r="I32" s="37" t="n">
        <f aca="false">I30*I31*$C$6</f>
        <v>3.816</v>
      </c>
      <c r="J32" s="37" t="n">
        <f aca="false">J30*J31*$C$6</f>
        <v>3.816</v>
      </c>
      <c r="K32" s="37" t="n">
        <f aca="false">K30*K31*$C$6</f>
        <v>3.816</v>
      </c>
      <c r="L32" s="37" t="n">
        <f aca="false">L30*L31*$C$6</f>
        <v>3.816</v>
      </c>
      <c r="M32" s="37" t="n">
        <f aca="false">M30*M31*$C$6</f>
        <v>3.816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</v>
      </c>
      <c r="G34" s="20" t="n">
        <v>0.8</v>
      </c>
      <c r="H34" s="20" t="n">
        <v>0.88</v>
      </c>
      <c r="I34" s="20" t="n">
        <v>0.9</v>
      </c>
      <c r="J34" s="20" t="n">
        <v>0.9</v>
      </c>
      <c r="K34" s="20" t="n">
        <v>0.9</v>
      </c>
      <c r="L34" s="20" t="n">
        <v>0.9</v>
      </c>
      <c r="M34" s="20" t="n">
        <v>0.9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2.332</v>
      </c>
      <c r="F35" s="37" t="n">
        <f aca="false">F33*F34*$C$6</f>
        <v>2.968</v>
      </c>
      <c r="G35" s="37" t="n">
        <f aca="false">G33*G34*$C$6</f>
        <v>3.392</v>
      </c>
      <c r="H35" s="37" t="n">
        <f aca="false">H33*H34*$C$6</f>
        <v>3.7312</v>
      </c>
      <c r="I35" s="37" t="n">
        <f aca="false">I33*I34*$C$6</f>
        <v>3.816</v>
      </c>
      <c r="J35" s="37" t="n">
        <f aca="false">J33*J34*$C$6</f>
        <v>3.816</v>
      </c>
      <c r="K35" s="37" t="n">
        <f aca="false">K33*K34*$C$6</f>
        <v>3.816</v>
      </c>
      <c r="L35" s="37" t="n">
        <f aca="false">L33*L34*$C$6</f>
        <v>3.816</v>
      </c>
      <c r="M35" s="37" t="n">
        <f aca="false">M33*M34*$C$6</f>
        <v>3.816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</v>
      </c>
      <c r="H38" s="20" t="n">
        <v>0.82</v>
      </c>
      <c r="I38" s="20" t="n">
        <v>0.88</v>
      </c>
      <c r="J38" s="20" t="n">
        <v>0.9</v>
      </c>
      <c r="K38" s="20" t="n">
        <v>0.9</v>
      </c>
      <c r="L38" s="20" t="n">
        <v>0.9</v>
      </c>
      <c r="M38" s="20" t="n">
        <v>0.9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2.332</v>
      </c>
      <c r="G39" s="37" t="n">
        <f aca="false">G37*G38*$C$6</f>
        <v>2.968</v>
      </c>
      <c r="H39" s="37" t="n">
        <f aca="false">H37*H38*$C$6</f>
        <v>3.4768</v>
      </c>
      <c r="I39" s="37" t="n">
        <f aca="false">I37*I38*$C$6</f>
        <v>3.7312</v>
      </c>
      <c r="J39" s="37" t="n">
        <f aca="false">J37*J38*$C$6</f>
        <v>3.816</v>
      </c>
      <c r="K39" s="37" t="n">
        <f aca="false">K37*K38*$C$6</f>
        <v>3.816</v>
      </c>
      <c r="L39" s="37" t="n">
        <f aca="false">L37*L38*$C$6</f>
        <v>3.816</v>
      </c>
      <c r="M39" s="37" t="n">
        <f aca="false">M37*M38*$C$6</f>
        <v>3.816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</v>
      </c>
      <c r="H41" s="20" t="n">
        <v>0.82</v>
      </c>
      <c r="I41" s="20" t="n">
        <v>0.88</v>
      </c>
      <c r="J41" s="20" t="n">
        <v>0.9</v>
      </c>
      <c r="K41" s="20" t="n">
        <v>0.9</v>
      </c>
      <c r="L41" s="20" t="n">
        <v>0.9</v>
      </c>
      <c r="M41" s="20" t="n">
        <v>0.9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2.332</v>
      </c>
      <c r="G42" s="37" t="n">
        <f aca="false">G40*G41*$C$6</f>
        <v>2.968</v>
      </c>
      <c r="H42" s="37" t="n">
        <f aca="false">H40*H41*$C$6</f>
        <v>3.4768</v>
      </c>
      <c r="I42" s="37" t="n">
        <f aca="false">I40*I41*$C$6</f>
        <v>3.7312</v>
      </c>
      <c r="J42" s="37" t="n">
        <f aca="false">J40*J41*$C$6</f>
        <v>3.816</v>
      </c>
      <c r="K42" s="37" t="n">
        <f aca="false">K40*K41*$C$6</f>
        <v>3.816</v>
      </c>
      <c r="L42" s="37" t="n">
        <f aca="false">L40*L41*$C$6</f>
        <v>3.816</v>
      </c>
      <c r="M42" s="37" t="n">
        <f aca="false">M40*M41*$C$6</f>
        <v>3.816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4.664</v>
      </c>
      <c r="F43" s="37" t="n">
        <f aca="false">F32+F35</f>
        <v>5.936</v>
      </c>
      <c r="G43" s="37" t="n">
        <f aca="false">G32+G35</f>
        <v>6.784</v>
      </c>
      <c r="H43" s="37" t="n">
        <f aca="false">H32+H35</f>
        <v>7.4624</v>
      </c>
      <c r="I43" s="37" t="n">
        <f aca="false">I32+I35</f>
        <v>7.632</v>
      </c>
      <c r="J43" s="37" t="n">
        <f aca="false">J32+J35</f>
        <v>7.632</v>
      </c>
      <c r="K43" s="37" t="n">
        <f aca="false">K32+K35</f>
        <v>7.632</v>
      </c>
      <c r="L43" s="37" t="n">
        <f aca="false">L32+L35</f>
        <v>7.632</v>
      </c>
      <c r="M43" s="37" t="n">
        <f aca="false">M32+M35</f>
        <v>7.632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4.664</v>
      </c>
      <c r="G44" s="37" t="n">
        <f aca="false">G39+G42</f>
        <v>5.936</v>
      </c>
      <c r="H44" s="37" t="n">
        <f aca="false">H39+H42</f>
        <v>6.9536</v>
      </c>
      <c r="I44" s="37" t="n">
        <f aca="false">I39+I42</f>
        <v>7.4624</v>
      </c>
      <c r="J44" s="37" t="n">
        <f aca="false">J39+J42</f>
        <v>7.632</v>
      </c>
      <c r="K44" s="37" t="n">
        <f aca="false">K39+K42</f>
        <v>7.632</v>
      </c>
      <c r="L44" s="37" t="n">
        <f aca="false">L39+L42</f>
        <v>7.632</v>
      </c>
      <c r="M44" s="37" t="n">
        <f aca="false">M39+M42</f>
        <v>7.632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4.664</v>
      </c>
      <c r="F45" s="37" t="n">
        <f aca="false">F43+F44</f>
        <v>10.6</v>
      </c>
      <c r="G45" s="37" t="n">
        <f aca="false">G43+G44</f>
        <v>12.72</v>
      </c>
      <c r="H45" s="37" t="n">
        <f aca="false">H43+H44</f>
        <v>14.416</v>
      </c>
      <c r="I45" s="37" t="n">
        <f aca="false">I43+I44</f>
        <v>15.0944</v>
      </c>
      <c r="J45" s="37" t="n">
        <f aca="false">J43+J44</f>
        <v>15.264</v>
      </c>
      <c r="K45" s="37" t="n">
        <f aca="false">K43+K44</f>
        <v>15.264</v>
      </c>
      <c r="L45" s="37" t="n">
        <f aca="false">L43+L44</f>
        <v>15.264</v>
      </c>
      <c r="M45" s="37" t="n">
        <f aca="false">M43+M44</f>
        <v>15.264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0.55</v>
      </c>
      <c r="H60" s="20" t="n">
        <v>0.7</v>
      </c>
      <c r="I60" s="20" t="n">
        <v>0.8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3.78</v>
      </c>
      <c r="G61" s="37" t="n">
        <f aca="false">G59*G60*$C$6</f>
        <v>5.94</v>
      </c>
      <c r="H61" s="37" t="n">
        <f aca="false">H59*H60*$C$6</f>
        <v>7.56</v>
      </c>
      <c r="I61" s="37" t="n">
        <f aca="false">I59*I60*$C$6</f>
        <v>8.64</v>
      </c>
      <c r="J61" s="37" t="n">
        <f aca="false">J59*J60*$C$6</f>
        <v>9.18</v>
      </c>
      <c r="K61" s="37" t="n">
        <f aca="false">K59*K60*$C$6</f>
        <v>9.18</v>
      </c>
      <c r="L61" s="37" t="n">
        <f aca="false">L59*L60*$C$6</f>
        <v>9.18</v>
      </c>
      <c r="M61" s="37" t="n">
        <f aca="false">M59*M60*$C$6</f>
        <v>9.18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0.55</v>
      </c>
      <c r="H63" s="20" t="n">
        <v>0.7</v>
      </c>
      <c r="I63" s="20" t="n">
        <v>0.8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3.78</v>
      </c>
      <c r="G64" s="37" t="n">
        <f aca="false">G62*G63*$C$6</f>
        <v>5.94</v>
      </c>
      <c r="H64" s="37" t="n">
        <f aca="false">H62*H63*$C$6</f>
        <v>7.56</v>
      </c>
      <c r="I64" s="37" t="n">
        <f aca="false">I62*I63*$C$6</f>
        <v>8.64</v>
      </c>
      <c r="J64" s="37" t="n">
        <f aca="false">J62*J63*$C$6</f>
        <v>9.18</v>
      </c>
      <c r="K64" s="37" t="n">
        <f aca="false">K62*K63*$C$6</f>
        <v>9.18</v>
      </c>
      <c r="L64" s="37" t="n">
        <f aca="false">L62*L63*$C$6</f>
        <v>9.18</v>
      </c>
      <c r="M64" s="37" t="n">
        <f aca="false">M62*M63*$C$6</f>
        <v>9.18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0.55</v>
      </c>
      <c r="H67" s="20" t="n">
        <v>0.7</v>
      </c>
      <c r="I67" s="20" t="n">
        <v>0.8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0.756</v>
      </c>
      <c r="G68" s="37" t="n">
        <f aca="false">G66*G67*$C$6</f>
        <v>1.188</v>
      </c>
      <c r="H68" s="37" t="n">
        <f aca="false">H66*H67*$C$6</f>
        <v>1.512</v>
      </c>
      <c r="I68" s="37" t="n">
        <f aca="false">I66*I67*$C$6</f>
        <v>1.728</v>
      </c>
      <c r="J68" s="37" t="n">
        <f aca="false">J66*J67*$C$6</f>
        <v>1.836</v>
      </c>
      <c r="K68" s="37" t="n">
        <f aca="false">K66*K67*$C$6</f>
        <v>1.836</v>
      </c>
      <c r="L68" s="37" t="n">
        <f aca="false">L66*L67*$C$6</f>
        <v>1.836</v>
      </c>
      <c r="M68" s="37" t="n">
        <f aca="false">M66*M67*$C$6</f>
        <v>1.836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7.56</v>
      </c>
      <c r="G69" s="37" t="n">
        <f aca="false">G61+G64</f>
        <v>11.88</v>
      </c>
      <c r="H69" s="37" t="n">
        <f aca="false">H61+H64</f>
        <v>15.12</v>
      </c>
      <c r="I69" s="37" t="n">
        <f aca="false">I61+I64</f>
        <v>17.28</v>
      </c>
      <c r="J69" s="37" t="n">
        <f aca="false">J61+J64</f>
        <v>18.36</v>
      </c>
      <c r="K69" s="37" t="n">
        <f aca="false">K61+K64</f>
        <v>18.36</v>
      </c>
      <c r="L69" s="37" t="n">
        <f aca="false">L61+L64</f>
        <v>18.36</v>
      </c>
      <c r="M69" s="37" t="n">
        <f aca="false">M61+M64</f>
        <v>18.36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0.756</v>
      </c>
      <c r="G70" s="37" t="n">
        <f aca="false">G68</f>
        <v>1.188</v>
      </c>
      <c r="H70" s="37" t="n">
        <f aca="false">H68</f>
        <v>1.512</v>
      </c>
      <c r="I70" s="37" t="n">
        <f aca="false">I68</f>
        <v>1.728</v>
      </c>
      <c r="J70" s="37" t="n">
        <f aca="false">J68</f>
        <v>1.836</v>
      </c>
      <c r="K70" s="37" t="n">
        <f aca="false">K68</f>
        <v>1.836</v>
      </c>
      <c r="L70" s="37" t="n">
        <f aca="false">L68</f>
        <v>1.836</v>
      </c>
      <c r="M70" s="37" t="n">
        <f aca="false">M68</f>
        <v>1.836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19" t="n">
        <v>200</v>
      </c>
      <c r="D85" s="8" t="s">
        <v>113</v>
      </c>
    </row>
    <row r="86" customFormat="false" ht="15" hidden="false" customHeight="false" outlineLevel="0" collapsed="false">
      <c r="B86" s="21" t="s">
        <v>114</v>
      </c>
      <c r="C86" s="20" t="n">
        <v>0.15</v>
      </c>
    </row>
    <row r="87" customFormat="false" ht="15" hidden="false" customHeight="false" outlineLevel="0" collapsed="false">
      <c r="B87" s="21" t="s">
        <v>115</v>
      </c>
      <c r="C87" s="20" t="n">
        <v>0.23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4000</v>
      </c>
      <c r="D88" s="10" t="s">
        <v>118</v>
      </c>
    </row>
    <row r="89" customFormat="false" ht="15" hidden="false" customHeight="false" outlineLevel="0" collapsed="false">
      <c r="B89" s="21" t="s">
        <v>119</v>
      </c>
      <c r="C89" s="19" t="n">
        <v>0</v>
      </c>
      <c r="D89" s="8" t="s">
        <v>120</v>
      </c>
    </row>
    <row r="90" customFormat="false" ht="15" hidden="false" customHeight="false" outlineLevel="0" collapsed="false">
      <c r="B90" s="21" t="s">
        <v>121</v>
      </c>
      <c r="C90" s="20" t="n">
        <v>0.8</v>
      </c>
      <c r="D90" s="10" t="s">
        <v>122</v>
      </c>
    </row>
    <row r="91" customFormat="false" ht="15" hidden="false" customHeight="false" outlineLevel="0" collapsed="false">
      <c r="B91" s="21" t="s">
        <v>123</v>
      </c>
      <c r="C91" s="20" t="n">
        <v>0.105</v>
      </c>
    </row>
    <row r="92" customFormat="false" ht="15" hidden="false" customHeight="false" outlineLevel="0" collapsed="false">
      <c r="B92" s="21" t="s">
        <v>124</v>
      </c>
      <c r="C92" s="20" t="n">
        <v>0.13</v>
      </c>
      <c r="D92" s="8" t="s">
        <v>125</v>
      </c>
    </row>
    <row r="93" customFormat="false" ht="15" hidden="false" customHeight="false" outlineLevel="0" collapsed="false">
      <c r="B93" s="21" t="s">
        <v>126</v>
      </c>
      <c r="C93" s="20" t="n">
        <v>0.02</v>
      </c>
    </row>
    <row r="94" customFormat="false" ht="15" hidden="false" customHeight="false" outlineLevel="0" collapsed="false">
      <c r="B94" s="21" t="s">
        <v>127</v>
      </c>
      <c r="C94" s="19" t="n">
        <v>6400</v>
      </c>
      <c r="D94" s="10" t="s">
        <v>128</v>
      </c>
    </row>
    <row r="95" customFormat="false" ht="15" hidden="false" customHeight="false" outlineLevel="0" collapsed="false">
      <c r="B95" s="21" t="s">
        <v>129</v>
      </c>
      <c r="C95" s="45" t="n">
        <v>0.5</v>
      </c>
    </row>
    <row r="97" customFormat="false" ht="15" hidden="false" customHeight="false" outlineLevel="0" collapsed="false">
      <c r="B97" s="46" t="s">
        <v>130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4" t="s">
        <v>131</v>
      </c>
    </row>
    <row r="99" customFormat="false" ht="15" hidden="false" customHeight="false" outlineLevel="0" collapsed="false">
      <c r="B99" s="47" t="s">
        <v>132</v>
      </c>
    </row>
    <row r="100" customFormat="false" ht="15" hidden="false" customHeight="false" outlineLevel="0" collapsed="false">
      <c r="B100" s="21" t="s">
        <v>133</v>
      </c>
      <c r="C100" s="19" t="n">
        <v>0</v>
      </c>
      <c r="D100" s="8" t="s">
        <v>134</v>
      </c>
    </row>
    <row r="101" customFormat="false" ht="15" hidden="false" customHeight="false" outlineLevel="0" collapsed="false">
      <c r="B101" s="21" t="s">
        <v>135</v>
      </c>
      <c r="C101" s="20" t="n">
        <v>0.09</v>
      </c>
      <c r="D101" s="8" t="s">
        <v>136</v>
      </c>
    </row>
    <row r="102" customFormat="false" ht="15" hidden="false" customHeight="false" outlineLevel="0" collapsed="false">
      <c r="B102" s="48" t="s">
        <v>137</v>
      </c>
    </row>
    <row r="103" customFormat="false" ht="15" hidden="false" customHeight="false" outlineLevel="0" collapsed="false">
      <c r="B103" s="18" t="s">
        <v>138</v>
      </c>
      <c r="C103" s="19" t="n">
        <v>852</v>
      </c>
      <c r="D103" s="8" t="s">
        <v>139</v>
      </c>
    </row>
    <row r="104" customFormat="false" ht="15" hidden="false" customHeight="false" outlineLevel="0" collapsed="false">
      <c r="B104" s="18" t="s">
        <v>140</v>
      </c>
      <c r="C104" s="20" t="n">
        <v>0.065</v>
      </c>
      <c r="D104" s="8" t="s">
        <v>141</v>
      </c>
    </row>
    <row r="105" customFormat="false" ht="15" hidden="false" customHeight="false" outlineLevel="0" collapsed="false">
      <c r="B105" s="21" t="s">
        <v>142</v>
      </c>
      <c r="C105" s="19" t="n">
        <v>0</v>
      </c>
      <c r="D105" s="8" t="s">
        <v>143</v>
      </c>
    </row>
    <row r="106" customFormat="false" ht="15" hidden="false" customHeight="false" outlineLevel="0" collapsed="false">
      <c r="B106" s="47" t="s">
        <v>144</v>
      </c>
    </row>
    <row r="107" customFormat="false" ht="15" hidden="false" customHeight="false" outlineLevel="0" collapsed="false">
      <c r="B107" s="21" t="s">
        <v>145</v>
      </c>
      <c r="C107" s="19" t="n">
        <v>4000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20" t="n">
        <v>0.05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19" t="n">
        <v>0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20" t="n">
        <v>0.07</v>
      </c>
      <c r="D110" s="8" t="s">
        <v>152</v>
      </c>
    </row>
    <row r="111" customFormat="false" ht="15" hidden="false" customHeight="false" outlineLevel="0" collapsed="false">
      <c r="B111" s="21" t="s">
        <v>153</v>
      </c>
      <c r="C111" s="49" t="n">
        <v>2029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49" t="n">
        <v>2032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20" t="n">
        <v>0.05</v>
      </c>
      <c r="D113" s="10" t="s">
        <v>158</v>
      </c>
    </row>
    <row r="114" customFormat="false" ht="15" hidden="false" customHeight="false" outlineLevel="0" collapsed="false">
      <c r="B114" s="21" t="s">
        <v>159</v>
      </c>
      <c r="C114" s="19" t="n">
        <v>0</v>
      </c>
      <c r="D114" s="8" t="s">
        <v>160</v>
      </c>
    </row>
    <row r="116" customFormat="false" ht="15" hidden="false" customHeight="false" outlineLevel="0" collapsed="false">
      <c r="B116" s="10" t="s">
        <v>161</v>
      </c>
    </row>
    <row r="117" customFormat="false" ht="15" hidden="false" customHeight="false" outlineLevel="0" collapsed="false">
      <c r="B117" s="10" t="s">
        <v>162</v>
      </c>
    </row>
    <row r="119" customFormat="false" ht="15" hidden="false" customHeight="false" outlineLevel="0" collapsed="false">
      <c r="B119" s="21" t="s">
        <v>163</v>
      </c>
      <c r="C119" s="50" t="n">
        <v>2000</v>
      </c>
      <c r="D119" s="8" t="s">
        <v>164</v>
      </c>
    </row>
    <row r="120" customFormat="false" ht="15" hidden="false" customHeight="false" outlineLevel="0" collapsed="false">
      <c r="B120" s="21" t="s">
        <v>165</v>
      </c>
      <c r="C120" s="19" t="n">
        <v>3000</v>
      </c>
      <c r="D120" s="8" t="s">
        <v>166</v>
      </c>
    </row>
    <row r="122" customFormat="false" ht="15" hidden="false" customHeight="false" outlineLevel="0" collapsed="false">
      <c r="B122" s="10" t="s">
        <v>167</v>
      </c>
    </row>
    <row r="123" customFormat="false" ht="15" hidden="false" customHeight="false" outlineLevel="0" collapsed="false">
      <c r="B123" s="5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169</v>
      </c>
    </row>
    <row r="2" customFormat="false" ht="15" hidden="false" customHeight="false" outlineLevel="0" collapsed="false">
      <c r="B2" s="53" t="s">
        <v>170</v>
      </c>
    </row>
    <row r="4" customFormat="false" ht="15" hidden="false" customHeight="false" outlineLevel="0" collapsed="false">
      <c r="B4" s="32" t="s">
        <v>171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173</v>
      </c>
      <c r="D6" s="54" t="n">
        <f aca="false">Assumptions!D45</f>
        <v>0</v>
      </c>
      <c r="E6" s="54" t="n">
        <f aca="false">Assumptions!E45</f>
        <v>4.664</v>
      </c>
      <c r="F6" s="54" t="n">
        <f aca="false">Assumptions!F45</f>
        <v>10.6</v>
      </c>
      <c r="G6" s="54" t="n">
        <f aca="false">Assumptions!G45</f>
        <v>12.72</v>
      </c>
      <c r="H6" s="54" t="n">
        <f aca="false">Assumptions!H45</f>
        <v>14.416</v>
      </c>
      <c r="I6" s="54" t="n">
        <f aca="false">Assumptions!I45</f>
        <v>15.0944</v>
      </c>
      <c r="J6" s="54" t="n">
        <f aca="false">Assumptions!J45</f>
        <v>15.264</v>
      </c>
      <c r="K6" s="54" t="n">
        <f aca="false">Assumptions!K45</f>
        <v>15.264</v>
      </c>
      <c r="L6" s="54" t="n">
        <f aca="false">Assumptions!L45</f>
        <v>15.264</v>
      </c>
      <c r="M6" s="54" t="n">
        <f aca="false">Assumptions!M45</f>
        <v>15.264</v>
      </c>
    </row>
    <row r="7" customFormat="false" ht="15" hidden="false" customHeight="false" outlineLevel="0" collapsed="false">
      <c r="B7" s="21" t="s">
        <v>174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175</v>
      </c>
      <c r="D8" s="56" t="n">
        <f aca="false">D6*D7</f>
        <v>0</v>
      </c>
      <c r="E8" s="56" t="n">
        <f aca="false">E6*E7</f>
        <v>722.92</v>
      </c>
      <c r="F8" s="56" t="n">
        <f aca="false">F6*F7</f>
        <v>1643</v>
      </c>
      <c r="G8" s="56" t="n">
        <f aca="false">G6*G7</f>
        <v>1946.16</v>
      </c>
      <c r="H8" s="56" t="n">
        <f aca="false">H6*H7</f>
        <v>2176.816</v>
      </c>
      <c r="I8" s="56" t="n">
        <f aca="false">I6*I7</f>
        <v>2249.0656</v>
      </c>
      <c r="J8" s="56" t="n">
        <f aca="false">J6*J7</f>
        <v>2243.808</v>
      </c>
      <c r="K8" s="56" t="n">
        <f aca="false">K6*K7</f>
        <v>2213.28</v>
      </c>
      <c r="L8" s="56" t="n">
        <f aca="false">L6*L7</f>
        <v>2182.752</v>
      </c>
      <c r="M8" s="56" t="n">
        <f aca="false">M6*M7</f>
        <v>2152.224</v>
      </c>
    </row>
    <row r="9" customFormat="false" ht="15" hidden="false" customHeight="false" outlineLevel="0" collapsed="false">
      <c r="B9" s="21" t="s">
        <v>176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-607.2528</v>
      </c>
      <c r="F9" s="38" t="n">
        <f aca="false">-(Assumptions!F43*Assumptions!F49+Assumptions!F44*Assumptions!F50)</f>
        <v>-1394.5784</v>
      </c>
      <c r="G9" s="38" t="n">
        <f aca="false">-(Assumptions!G43*Assumptions!G49+Assumptions!G44*Assumptions!G50)</f>
        <v>-1652.93856</v>
      </c>
      <c r="H9" s="38" t="n">
        <f aca="false">-(Assumptions!H43*Assumptions!H49+Assumptions!H44*Assumptions!H50)</f>
        <v>-1849.525312</v>
      </c>
      <c r="I9" s="38" t="n">
        <f aca="false">-(Assumptions!I43*Assumptions!I49+Assumptions!I44*Assumptions!I50)</f>
        <v>-1911.453056</v>
      </c>
      <c r="J9" s="38" t="n">
        <f aca="false">-(Assumptions!J43*Assumptions!J49+Assumptions!J44*Assumptions!J50)</f>
        <v>-1907.2368</v>
      </c>
      <c r="K9" s="38" t="n">
        <f aca="false">-(Assumptions!K43*Assumptions!K49+Assumptions!K44*Assumptions!K50)</f>
        <v>-1881.288</v>
      </c>
      <c r="L9" s="38" t="n">
        <f aca="false">-(Assumptions!L43*Assumptions!L49+Assumptions!L44*Assumptions!L50)</f>
        <v>-1855.3392</v>
      </c>
      <c r="M9" s="38" t="n">
        <f aca="false">-(Assumptions!M43*Assumptions!M49+Assumptions!M44*Assumptions!M50)</f>
        <v>-1829.3904</v>
      </c>
    </row>
    <row r="10" customFormat="false" ht="15" hidden="false" customHeight="false" outlineLevel="0" collapsed="false">
      <c r="B10" s="32" t="s">
        <v>177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115.6672</v>
      </c>
      <c r="F12" s="56" t="n">
        <f aca="false">F8+F9</f>
        <v>248.4216</v>
      </c>
      <c r="G12" s="56" t="n">
        <f aca="false">G8+G9</f>
        <v>293.22144</v>
      </c>
      <c r="H12" s="56" t="n">
        <f aca="false">H8+H9</f>
        <v>327.290688</v>
      </c>
      <c r="I12" s="56" t="n">
        <f aca="false">I8+I9</f>
        <v>337.612544</v>
      </c>
      <c r="J12" s="56" t="n">
        <f aca="false">J8+J9</f>
        <v>336.5712</v>
      </c>
      <c r="K12" s="56" t="n">
        <f aca="false">K8+K9</f>
        <v>331.992</v>
      </c>
      <c r="L12" s="56" t="n">
        <f aca="false">L8+L9</f>
        <v>327.4128</v>
      </c>
      <c r="M12" s="56" t="n">
        <f aca="false">M8+M9</f>
        <v>322.8336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-43.3752</v>
      </c>
      <c r="F13" s="38" t="n">
        <f aca="false">-F8*Assumptions!$C$81</f>
        <v>-98.58</v>
      </c>
      <c r="G13" s="38" t="n">
        <f aca="false">-G8*Assumptions!$C$81</f>
        <v>-116.7696</v>
      </c>
      <c r="H13" s="38" t="n">
        <f aca="false">-H8*Assumptions!$C$81</f>
        <v>-130.60896</v>
      </c>
      <c r="I13" s="38" t="n">
        <f aca="false">-I8*Assumptions!$C$81</f>
        <v>-134.943936</v>
      </c>
      <c r="J13" s="38" t="n">
        <f aca="false">-J8*Assumptions!$C$81</f>
        <v>-134.62848</v>
      </c>
      <c r="K13" s="38" t="n">
        <f aca="false">-K8*Assumptions!$C$81</f>
        <v>-132.7968</v>
      </c>
      <c r="L13" s="38" t="n">
        <f aca="false">-L8*Assumptions!$C$81</f>
        <v>-130.96512</v>
      </c>
      <c r="M13" s="38" t="n">
        <f aca="false">-M8*Assumptions!$C$81</f>
        <v>-129.13344</v>
      </c>
    </row>
    <row r="14" customFormat="false" ht="15" hidden="false" customHeight="false" outlineLevel="0" collapsed="false">
      <c r="B14" s="21" t="s">
        <v>180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18" t="s">
        <v>182</v>
      </c>
      <c r="D16" s="38" t="n">
        <f aca="false">MAX(0,Assumptions!$C$85-(D12+D13))</f>
        <v>200</v>
      </c>
      <c r="E16" s="38" t="n">
        <f aca="false">MAX(0,Assumptions!$C$85-(E12+E13))</f>
        <v>127.708</v>
      </c>
      <c r="F16" s="38" t="n">
        <f aca="false">MAX(0,Assumptions!$C$85-(F12+F13))</f>
        <v>50.1583999999997</v>
      </c>
      <c r="G16" s="38" t="n">
        <f aca="false">MAX(0,Assumptions!$C$85-(G12+G13))</f>
        <v>23.54816</v>
      </c>
      <c r="H16" s="38" t="n">
        <f aca="false">MAX(0,Assumptions!$C$85-(H12+H13))</f>
        <v>3.31827199999995</v>
      </c>
      <c r="I16" s="38" t="n">
        <f aca="false">MAX(0,Assumptions!$C$85-(I12+I13))</f>
        <v>0</v>
      </c>
      <c r="J16" s="38" t="n">
        <f aca="false">MAX(0,Assumptions!$C$85-(J12+J13))</f>
        <v>0</v>
      </c>
      <c r="K16" s="38" t="n">
        <f aca="false">MAX(0,Assumptions!$C$85-(K12+K13))</f>
        <v>0.804800000000256</v>
      </c>
      <c r="L16" s="38" t="n">
        <f aca="false">MAX(0,Assumptions!$C$85-(L12+L13))</f>
        <v>3.55231999999992</v>
      </c>
      <c r="M16" s="38" t="n">
        <f aca="false">MAX(0,Assumptions!$C$85-(M12+M13))</f>
        <v>6.29984000000027</v>
      </c>
    </row>
    <row r="17" customFormat="false" ht="15" hidden="false" customHeight="false" outlineLevel="0" collapsed="false">
      <c r="B17" s="55" t="s">
        <v>183</v>
      </c>
      <c r="D17" s="56" t="n">
        <f aca="false">D12+D13+D15+D16</f>
        <v>186.66</v>
      </c>
      <c r="E17" s="56" t="n">
        <f aca="false">E12+E13+E15+E16</f>
        <v>174.654</v>
      </c>
      <c r="F17" s="56" t="n">
        <f aca="false">F12+F13+F15+F16</f>
        <v>171.986</v>
      </c>
      <c r="G17" s="56" t="n">
        <f aca="false">G12+G13+G15+G16</f>
        <v>171.986</v>
      </c>
      <c r="H17" s="56" t="n">
        <f aca="false">H12+H13+H15+H16</f>
        <v>171.986</v>
      </c>
      <c r="I17" s="56" t="n">
        <f aca="false">I12+I13+I15+I16</f>
        <v>174.654608</v>
      </c>
      <c r="J17" s="56" t="n">
        <f aca="false">J12+J13+J15+J16</f>
        <v>173.92872</v>
      </c>
      <c r="K17" s="56" t="n">
        <f aca="false">K12+K13+K15+K16</f>
        <v>171.986</v>
      </c>
      <c r="L17" s="56" t="n">
        <f aca="false">L12+L13+L15+L16</f>
        <v>171.986</v>
      </c>
      <c r="M17" s="56" t="n">
        <f aca="false">M12+M13+M15+M16</f>
        <v>171.986</v>
      </c>
    </row>
    <row r="18" customFormat="false" ht="15" hidden="false" customHeight="false" outlineLevel="0" collapsed="false">
      <c r="B18" s="21" t="s">
        <v>184</v>
      </c>
      <c r="D18" s="57" t="n">
        <f aca="false">IF(D8=0,0,D17/D8)</f>
        <v>0</v>
      </c>
      <c r="E18" s="57" t="n">
        <f aca="false">IF(E8=0,0,E17/E8)</f>
        <v>0.241595197255575</v>
      </c>
      <c r="F18" s="57" t="n">
        <f aca="false">IF(F8=0,0,F17/F8)</f>
        <v>0.104678027997565</v>
      </c>
      <c r="G18" s="57" t="n">
        <f aca="false">IF(G8=0,0,G17/G8)</f>
        <v>0.0883719735273564</v>
      </c>
      <c r="H18" s="57" t="n">
        <f aca="false">IF(H8=0,0,H17/H8)</f>
        <v>0.0790080558026034</v>
      </c>
      <c r="I18" s="57" t="n">
        <f aca="false">IF(I8=0,0,I17/I8)</f>
        <v>0.0776565201121746</v>
      </c>
      <c r="J18" s="57" t="n">
        <f aca="false">IF(J8=0,0,J17/J8)</f>
        <v>0.0775149745432765</v>
      </c>
      <c r="K18" s="57" t="n">
        <f aca="false">IF(K8=0,0,K17/K8)</f>
        <v>0.0777063905154341</v>
      </c>
      <c r="L18" s="57" t="n">
        <f aca="false">IF(L8=0,0,L17/L8)</f>
        <v>0.0787931931799856</v>
      </c>
      <c r="M18" s="57" t="n">
        <f aca="false">IF(M8=0,0,M17/M8)</f>
        <v>0.079910827125801</v>
      </c>
    </row>
    <row r="19" customFormat="false" ht="15" hidden="false" customHeight="false" outlineLevel="0" collapsed="false">
      <c r="B19" s="21" t="s">
        <v>185</v>
      </c>
      <c r="D19" s="38" t="n">
        <f aca="false">(Assumptions!D45)*Assumptions!D8</f>
        <v>0</v>
      </c>
      <c r="E19" s="38" t="n">
        <f aca="false">(Assumptions!E45)*Assumptions!E8</f>
        <v>209.88</v>
      </c>
      <c r="F19" s="38" t="n">
        <f aca="false">(Assumptions!F45)*Assumptions!F8</f>
        <v>477</v>
      </c>
      <c r="G19" s="38" t="n">
        <f aca="false">(Assumptions!G45)*Assumptions!G8</f>
        <v>572.4</v>
      </c>
      <c r="H19" s="38" t="n">
        <f aca="false">(Assumptions!H45)*Assumptions!H8</f>
        <v>486.54</v>
      </c>
      <c r="I19" s="38" t="n">
        <f aca="false">(Assumptions!I45)*Assumptions!I8</f>
        <v>339.624</v>
      </c>
      <c r="J19" s="38" t="n">
        <f aca="false">(Assumptions!J45)*Assumptions!J8</f>
        <v>171.72</v>
      </c>
      <c r="K19" s="38" t="n">
        <f aca="false">(Assumptions!K45)*Assumptions!K8</f>
        <v>0</v>
      </c>
      <c r="L19" s="38" t="n">
        <f aca="false">(Assumptions!L45)*Assumptions!L8</f>
        <v>0</v>
      </c>
      <c r="M19" s="38" t="n">
        <f aca="false">(Assumptions!M45)*Assumptions!M8</f>
        <v>0</v>
      </c>
    </row>
    <row r="20" customFormat="false" ht="15" hidden="false" customHeight="false" outlineLevel="0" collapsed="false">
      <c r="B20" s="55" t="s">
        <v>186</v>
      </c>
      <c r="D20" s="56" t="n">
        <f aca="false">D17+D19</f>
        <v>186.66</v>
      </c>
      <c r="E20" s="56" t="n">
        <f aca="false">E17+E19</f>
        <v>384.534</v>
      </c>
      <c r="F20" s="56" t="n">
        <f aca="false">F17+F19</f>
        <v>648.986</v>
      </c>
      <c r="G20" s="56" t="n">
        <f aca="false">G17+G19</f>
        <v>744.386</v>
      </c>
      <c r="H20" s="56" t="n">
        <f aca="false">H17+H19</f>
        <v>658.526</v>
      </c>
      <c r="I20" s="56" t="n">
        <f aca="false">I17+I19</f>
        <v>514.278608</v>
      </c>
      <c r="J20" s="56" t="n">
        <f aca="false">J17+J19</f>
        <v>345.64872</v>
      </c>
      <c r="K20" s="56" t="n">
        <f aca="false">K17+K19</f>
        <v>171.986</v>
      </c>
      <c r="L20" s="56" t="n">
        <f aca="false">L17+L19</f>
        <v>171.986</v>
      </c>
      <c r="M20" s="56" t="n">
        <f aca="false">M17+M19</f>
        <v>171.986</v>
      </c>
    </row>
    <row r="22" customFormat="false" ht="15" hidden="false" customHeight="false" outlineLevel="0" collapsed="false">
      <c r="B22" s="32" t="s">
        <v>187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customFormat="false" ht="15" hidden="false" customHeight="false" outlineLevel="0" collapsed="false">
      <c r="B23" s="15" t="s">
        <v>172</v>
      </c>
      <c r="C23" s="16"/>
      <c r="D23" s="17" t="s">
        <v>13</v>
      </c>
      <c r="E23" s="17" t="s">
        <v>14</v>
      </c>
      <c r="F23" s="17" t="s">
        <v>15</v>
      </c>
      <c r="G23" s="17" t="s">
        <v>16</v>
      </c>
      <c r="H23" s="17" t="s">
        <v>17</v>
      </c>
      <c r="I23" s="17" t="s">
        <v>18</v>
      </c>
      <c r="J23" s="17" t="s">
        <v>19</v>
      </c>
      <c r="K23" s="17" t="s">
        <v>20</v>
      </c>
      <c r="L23" s="17" t="s">
        <v>21</v>
      </c>
      <c r="M23" s="17" t="s">
        <v>22</v>
      </c>
    </row>
    <row r="24" customFormat="false" ht="15" hidden="false" customHeight="false" outlineLevel="0" collapsed="false">
      <c r="B24" s="18" t="s">
        <v>188</v>
      </c>
      <c r="D24" s="38" t="n">
        <f aca="false">MAX(0,D17)</f>
        <v>186.66</v>
      </c>
      <c r="E24" s="38" t="n">
        <f aca="false">MAX(0,E17)</f>
        <v>174.654</v>
      </c>
      <c r="F24" s="38" t="n">
        <f aca="false">MAX(0,F17)</f>
        <v>171.986</v>
      </c>
      <c r="G24" s="38" t="n">
        <f aca="false">MAX(0,G17)</f>
        <v>171.986</v>
      </c>
      <c r="H24" s="38" t="n">
        <f aca="false">MAX(0,H17)</f>
        <v>171.986</v>
      </c>
      <c r="I24" s="38" t="n">
        <f aca="false">MAX(0,I17)</f>
        <v>174.654608</v>
      </c>
      <c r="J24" s="38" t="n">
        <f aca="false">MAX(0,J17)</f>
        <v>173.92872</v>
      </c>
      <c r="K24" s="38" t="n">
        <f aca="false">MAX(0,K17)</f>
        <v>171.986</v>
      </c>
      <c r="L24" s="38" t="n">
        <f aca="false">MAX(0,L17)</f>
        <v>171.986</v>
      </c>
      <c r="M24" s="38" t="n">
        <f aca="false">MAX(0,M17)</f>
        <v>171.986</v>
      </c>
    </row>
    <row r="25" customFormat="false" ht="15" hidden="false" customHeight="false" outlineLevel="0" collapsed="false">
      <c r="B25" s="21" t="s">
        <v>189</v>
      </c>
      <c r="D25" s="38" t="n">
        <f aca="false">Assumptions!$C$88</f>
        <v>4000</v>
      </c>
      <c r="E25" s="38" t="n">
        <f aca="false">D28</f>
        <v>3850.672</v>
      </c>
      <c r="F25" s="38" t="n">
        <f aca="false">E28</f>
        <v>3710.9488</v>
      </c>
      <c r="G25" s="38" t="n">
        <f aca="false">F28</f>
        <v>3573.36</v>
      </c>
      <c r="H25" s="38" t="n">
        <f aca="false">G28</f>
        <v>3435.7712</v>
      </c>
      <c r="I25" s="38" t="n">
        <f aca="false">H28</f>
        <v>3298.1824</v>
      </c>
      <c r="J25" s="38" t="n">
        <f aca="false">I28</f>
        <v>3158.4587136</v>
      </c>
      <c r="K25" s="38" t="n">
        <f aca="false">J28</f>
        <v>3019.3157376</v>
      </c>
      <c r="L25" s="38" t="n">
        <f aca="false">K28</f>
        <v>2881.7269376</v>
      </c>
      <c r="M25" s="38" t="n">
        <f aca="false">L28</f>
        <v>2744.1381376</v>
      </c>
    </row>
    <row r="26" customFormat="false" ht="15" hidden="false" customHeight="false" outlineLevel="0" collapsed="false">
      <c r="B26" s="21" t="s">
        <v>190</v>
      </c>
      <c r="D26" s="38" t="n">
        <f aca="false">MIN(D25,D24*Assumptions!$C$90)</f>
        <v>149.328</v>
      </c>
      <c r="E26" s="38" t="n">
        <f aca="false">MIN(E25,E24*Assumptions!$C$90)</f>
        <v>139.7232</v>
      </c>
      <c r="F26" s="38" t="n">
        <f aca="false">MIN(F25,F24*Assumptions!$C$90)</f>
        <v>137.5888</v>
      </c>
      <c r="G26" s="38" t="n">
        <f aca="false">MIN(G25,G24*Assumptions!$C$90)</f>
        <v>137.5888</v>
      </c>
      <c r="H26" s="38" t="n">
        <f aca="false">MIN(H25,H24*Assumptions!$C$90)</f>
        <v>137.5888</v>
      </c>
      <c r="I26" s="38" t="n">
        <f aca="false">MIN(I25,I24*Assumptions!$C$90)</f>
        <v>139.7236864</v>
      </c>
      <c r="J26" s="38" t="n">
        <f aca="false">MIN(J25,J24*Assumptions!$C$90)</f>
        <v>139.142976</v>
      </c>
      <c r="K26" s="38" t="n">
        <f aca="false">MIN(K25,K24*Assumptions!$C$90)</f>
        <v>137.5888</v>
      </c>
      <c r="L26" s="38" t="n">
        <f aca="false">MIN(L25,L24*Assumptions!$C$90)</f>
        <v>137.5888</v>
      </c>
      <c r="M26" s="38" t="n">
        <f aca="false">MIN(M25,M24*Assumptions!$C$90)</f>
        <v>137.5888</v>
      </c>
    </row>
    <row r="27" customFormat="false" ht="15" hidden="false" customHeight="false" outlineLevel="0" collapsed="false">
      <c r="B27" s="21" t="s">
        <v>191</v>
      </c>
      <c r="D27" s="38" t="n">
        <f aca="false">MAX(0,-D17)</f>
        <v>0</v>
      </c>
      <c r="E27" s="38" t="n">
        <f aca="false">MAX(0,-E17)</f>
        <v>0</v>
      </c>
      <c r="F27" s="38" t="n">
        <f aca="false">MAX(0,-F17)</f>
        <v>0</v>
      </c>
      <c r="G27" s="38" t="n">
        <f aca="false">MAX(0,-G17)</f>
        <v>0</v>
      </c>
      <c r="H27" s="38" t="n">
        <f aca="false">MAX(0,-H17)</f>
        <v>0</v>
      </c>
      <c r="I27" s="38" t="n">
        <f aca="false">MAX(0,-I17)</f>
        <v>0</v>
      </c>
      <c r="J27" s="38" t="n">
        <f aca="false">MAX(0,-J17)</f>
        <v>0</v>
      </c>
      <c r="K27" s="38" t="n">
        <f aca="false">MAX(0,-K17)</f>
        <v>0</v>
      </c>
      <c r="L27" s="38" t="n">
        <f aca="false">MAX(0,-L17)</f>
        <v>0</v>
      </c>
      <c r="M27" s="38" t="n">
        <f aca="false">MAX(0,-M17)</f>
        <v>0</v>
      </c>
    </row>
    <row r="28" customFormat="false" ht="15" hidden="false" customHeight="false" outlineLevel="0" collapsed="false">
      <c r="B28" s="21" t="s">
        <v>192</v>
      </c>
      <c r="D28" s="38" t="n">
        <f aca="false">D25-D26+D27</f>
        <v>3850.672</v>
      </c>
      <c r="E28" s="38" t="n">
        <f aca="false">E25-E26+E27</f>
        <v>3710.9488</v>
      </c>
      <c r="F28" s="38" t="n">
        <f aca="false">F25-F26+F27</f>
        <v>3573.36</v>
      </c>
      <c r="G28" s="38" t="n">
        <f aca="false">G25-G26+G27</f>
        <v>3435.7712</v>
      </c>
      <c r="H28" s="38" t="n">
        <f aca="false">H25-H26+H27</f>
        <v>3298.1824</v>
      </c>
      <c r="I28" s="38" t="n">
        <f aca="false">I25-I26+I27</f>
        <v>3158.4587136</v>
      </c>
      <c r="J28" s="38" t="n">
        <f aca="false">J25-J26+J27</f>
        <v>3019.3157376</v>
      </c>
      <c r="K28" s="38" t="n">
        <f aca="false">K25-K26+K27</f>
        <v>2881.7269376</v>
      </c>
      <c r="L28" s="38" t="n">
        <f aca="false">L25-L26+L27</f>
        <v>2744.1381376</v>
      </c>
      <c r="M28" s="38" t="n">
        <f aca="false">M25-M26+M27</f>
        <v>2606.5493376</v>
      </c>
    </row>
    <row r="29" customFormat="false" ht="15" hidden="false" customHeight="false" outlineLevel="0" collapsed="false">
      <c r="B29" s="18" t="s">
        <v>193</v>
      </c>
      <c r="D29" s="38" t="n">
        <f aca="false">D24-D26</f>
        <v>37.332</v>
      </c>
      <c r="E29" s="38" t="n">
        <f aca="false">E24-E26</f>
        <v>34.9308</v>
      </c>
      <c r="F29" s="38" t="n">
        <f aca="false">F24-F26</f>
        <v>34.3972</v>
      </c>
      <c r="G29" s="38" t="n">
        <f aca="false">G24-G26</f>
        <v>34.3972</v>
      </c>
      <c r="H29" s="38" t="n">
        <f aca="false">H24-H26</f>
        <v>34.3972</v>
      </c>
      <c r="I29" s="38" t="n">
        <f aca="false">I24-I26</f>
        <v>34.9309216</v>
      </c>
      <c r="J29" s="38" t="n">
        <f aca="false">J24-J26</f>
        <v>34.785744</v>
      </c>
      <c r="K29" s="38" t="n">
        <f aca="false">K24-K26</f>
        <v>34.3972</v>
      </c>
      <c r="L29" s="38" t="n">
        <f aca="false">L24-L26</f>
        <v>34.3972</v>
      </c>
      <c r="M29" s="38" t="n">
        <f aca="false">M24-M26</f>
        <v>34.3972</v>
      </c>
    </row>
    <row r="30" customFormat="false" ht="15" hidden="false" customHeight="false" outlineLevel="0" collapsed="false">
      <c r="B30" s="18" t="s">
        <v>194</v>
      </c>
      <c r="D30" s="38" t="n">
        <f aca="false">-D29*Assumptions!$C$87</f>
        <v>-8.58636</v>
      </c>
      <c r="E30" s="38" t="n">
        <f aca="false">-E29*Assumptions!$C$87</f>
        <v>-8.034084</v>
      </c>
      <c r="F30" s="38" t="n">
        <f aca="false">-F29*Assumptions!$C$87</f>
        <v>-7.911356</v>
      </c>
      <c r="G30" s="38" t="n">
        <f aca="false">-G29*Assumptions!$C$87</f>
        <v>-7.911356</v>
      </c>
      <c r="H30" s="38" t="n">
        <f aca="false">-H29*Assumptions!$C$87</f>
        <v>-7.911356</v>
      </c>
      <c r="I30" s="38" t="n">
        <f aca="false">-I29*Assumptions!$C$87</f>
        <v>-8.034111968</v>
      </c>
      <c r="J30" s="38" t="n">
        <f aca="false">-J29*Assumptions!$C$87</f>
        <v>-8.00072112000001</v>
      </c>
      <c r="K30" s="38" t="n">
        <f aca="false">-K29*Assumptions!$C$87</f>
        <v>-7.911356</v>
      </c>
      <c r="L30" s="38" t="n">
        <f aca="false">-L29*Assumptions!$C$87</f>
        <v>-7.911356</v>
      </c>
      <c r="M30" s="38" t="n">
        <f aca="false">-M29*Assumptions!$C$87</f>
        <v>-7.911356</v>
      </c>
    </row>
    <row r="31" customFormat="false" ht="15" hidden="false" customHeight="false" outlineLevel="0" collapsed="false">
      <c r="B31" s="55" t="s">
        <v>195</v>
      </c>
      <c r="D31" s="56" t="n">
        <f aca="false">D20+D30</f>
        <v>178.07364</v>
      </c>
      <c r="E31" s="56" t="n">
        <f aca="false">E20+E30</f>
        <v>376.499916</v>
      </c>
      <c r="F31" s="56" t="n">
        <f aca="false">F20+F30</f>
        <v>641.074644</v>
      </c>
      <c r="G31" s="56" t="n">
        <f aca="false">G20+G30</f>
        <v>736.474644</v>
      </c>
      <c r="H31" s="56" t="n">
        <f aca="false">H20+H30</f>
        <v>650.614644</v>
      </c>
      <c r="I31" s="56" t="n">
        <f aca="false">I20+I30</f>
        <v>506.244496032</v>
      </c>
      <c r="J31" s="56" t="n">
        <f aca="false">J20+J30</f>
        <v>337.64799888</v>
      </c>
      <c r="K31" s="56" t="n">
        <f aca="false">K20+K30</f>
        <v>164.074644</v>
      </c>
      <c r="L31" s="56" t="n">
        <f aca="false">L20+L30</f>
        <v>164.074644</v>
      </c>
      <c r="M31" s="56" t="n">
        <f aca="false">M20+M30</f>
        <v>164.074644</v>
      </c>
    </row>
    <row r="32" customFormat="false" ht="15" hidden="false" customHeight="false" outlineLevel="0" collapsed="false">
      <c r="B32" s="21" t="s">
        <v>196</v>
      </c>
      <c r="D32" s="38" t="n">
        <f aca="false">-D15</f>
        <v>13.34</v>
      </c>
      <c r="E32" s="38" t="n">
        <f aca="false">-E15</f>
        <v>25.346</v>
      </c>
      <c r="F32" s="38" t="n">
        <f aca="false">-F15</f>
        <v>28.014</v>
      </c>
      <c r="G32" s="38" t="n">
        <f aca="false">-G15</f>
        <v>28.014</v>
      </c>
      <c r="H32" s="38" t="n">
        <f aca="false">-H15</f>
        <v>28.014</v>
      </c>
      <c r="I32" s="38" t="n">
        <f aca="false">-I15</f>
        <v>28.014</v>
      </c>
      <c r="J32" s="38" t="n">
        <f aca="false">-J15</f>
        <v>28.014</v>
      </c>
      <c r="K32" s="38" t="n">
        <f aca="false">-K15</f>
        <v>28.014</v>
      </c>
      <c r="L32" s="38" t="n">
        <f aca="false">-L15</f>
        <v>28.014</v>
      </c>
      <c r="M32" s="38" t="n">
        <f aca="false">-M15</f>
        <v>28.014</v>
      </c>
    </row>
    <row r="33" customFormat="false" ht="15" hidden="false" customHeight="false" outlineLevel="0" collapsed="false">
      <c r="B33" s="21" t="s">
        <v>197</v>
      </c>
      <c r="D33" s="38" t="n">
        <f aca="false">-D8*Assumptions!$C$83</f>
        <v>-0</v>
      </c>
      <c r="E33" s="38" t="n">
        <f aca="false">-E8*Assumptions!$C$83</f>
        <v>-21.6876</v>
      </c>
      <c r="F33" s="38" t="n">
        <f aca="false">-F8*Assumptions!$C$83</f>
        <v>-49.29</v>
      </c>
      <c r="G33" s="38" t="n">
        <f aca="false">-G8*Assumptions!$C$83</f>
        <v>-58.3848</v>
      </c>
      <c r="H33" s="38" t="n">
        <f aca="false">-H8*Assumptions!$C$83</f>
        <v>-65.30448</v>
      </c>
      <c r="I33" s="38" t="n">
        <f aca="false">-I8*Assumptions!$C$83</f>
        <v>-67.471968</v>
      </c>
      <c r="J33" s="38" t="n">
        <f aca="false">-J8*Assumptions!$C$83</f>
        <v>-67.31424</v>
      </c>
      <c r="K33" s="38" t="n">
        <f aca="false">-K8*Assumptions!$C$83</f>
        <v>-66.3984</v>
      </c>
      <c r="L33" s="38" t="n">
        <f aca="false">-L8*Assumptions!$C$83</f>
        <v>-65.48256</v>
      </c>
      <c r="M33" s="38" t="n">
        <f aca="false">-M8*Assumptions!$C$83</f>
        <v>-64.56672</v>
      </c>
    </row>
    <row r="34" customFormat="false" ht="15" hidden="false" customHeight="false" outlineLevel="0" collapsed="false">
      <c r="B34" s="21" t="s">
        <v>198</v>
      </c>
      <c r="D34" s="38" t="n">
        <f aca="false">-Assumptions!D53</f>
        <v>-200</v>
      </c>
      <c r="E34" s="38" t="n">
        <f aca="false">-Assumptions!E53</f>
        <v>-180</v>
      </c>
      <c r="F34" s="38" t="n">
        <f aca="false">-Assumptions!F53</f>
        <v>-40</v>
      </c>
      <c r="G34" s="38" t="n">
        <f aca="false">-Assumptions!G53</f>
        <v>-0</v>
      </c>
      <c r="H34" s="38" t="n">
        <f aca="false">-Assumptions!H53</f>
        <v>-0</v>
      </c>
      <c r="I34" s="38" t="n">
        <f aca="false">-Assumptions!I53</f>
        <v>-0</v>
      </c>
      <c r="J34" s="38" t="n">
        <f aca="false">-Assumptions!J53</f>
        <v>-0</v>
      </c>
      <c r="K34" s="38" t="n">
        <f aca="false">-Assumptions!K53</f>
        <v>-0</v>
      </c>
      <c r="L34" s="38" t="n">
        <f aca="false">-Assumptions!L53</f>
        <v>-0</v>
      </c>
      <c r="M34" s="38" t="n">
        <f aca="false">-Assumptions!M53</f>
        <v>-0</v>
      </c>
    </row>
    <row r="35" customFormat="false" ht="15" hidden="false" customHeight="false" outlineLevel="0" collapsed="false">
      <c r="B35" s="21" t="s">
        <v>199</v>
      </c>
      <c r="D35" s="38" t="n">
        <f aca="false">Assumptions!D53*Assumptions!$C$84</f>
        <v>20</v>
      </c>
      <c r="E35" s="38" t="n">
        <f aca="false">Assumptions!E53*Assumptions!$C$84</f>
        <v>18</v>
      </c>
      <c r="F35" s="38" t="n">
        <f aca="false">Assumptions!F53*Assumptions!$C$84</f>
        <v>4</v>
      </c>
      <c r="G35" s="38" t="n">
        <f aca="false">Assumptions!G53*Assumptions!$C$84</f>
        <v>0</v>
      </c>
      <c r="H35" s="38" t="n">
        <f aca="false">Assumptions!H53*Assumptions!$C$84</f>
        <v>0</v>
      </c>
      <c r="I35" s="38" t="n">
        <f aca="false">Assumptions!I53*Assumptions!$C$84</f>
        <v>0</v>
      </c>
      <c r="J35" s="38" t="n">
        <f aca="false">Assumptions!J53*Assumptions!$C$84</f>
        <v>0</v>
      </c>
      <c r="K35" s="38" t="n">
        <f aca="false">Assumptions!K53*Assumptions!$C$84</f>
        <v>0</v>
      </c>
      <c r="L35" s="38" t="n">
        <f aca="false">Assumptions!L53*Assumptions!$C$84</f>
        <v>0</v>
      </c>
      <c r="M35" s="38" t="n">
        <f aca="false">Assumptions!M53*Assumptions!$C$84</f>
        <v>0</v>
      </c>
    </row>
    <row r="36" customFormat="false" ht="15" hidden="false" customHeight="false" outlineLevel="0" collapsed="false">
      <c r="B36" s="21" t="s">
        <v>200</v>
      </c>
      <c r="D36" s="38" t="n">
        <f aca="false">D8*Assumptions!$C$86</f>
        <v>0</v>
      </c>
      <c r="E36" s="38" t="n">
        <f aca="false">E8*Assumptions!$C$86</f>
        <v>108.438</v>
      </c>
      <c r="F36" s="38" t="n">
        <f aca="false">F8*Assumptions!$C$86</f>
        <v>246.45</v>
      </c>
      <c r="G36" s="38" t="n">
        <f aca="false">G8*Assumptions!$C$86</f>
        <v>291.924</v>
      </c>
      <c r="H36" s="38" t="n">
        <f aca="false">H8*Assumptions!$C$86</f>
        <v>326.5224</v>
      </c>
      <c r="I36" s="38" t="n">
        <f aca="false">I8*Assumptions!$C$86</f>
        <v>337.35984</v>
      </c>
      <c r="J36" s="38" t="n">
        <f aca="false">J8*Assumptions!$C$86</f>
        <v>336.5712</v>
      </c>
      <c r="K36" s="38" t="n">
        <f aca="false">K8*Assumptions!$C$86</f>
        <v>331.992</v>
      </c>
      <c r="L36" s="38" t="n">
        <f aca="false">L8*Assumptions!$C$86</f>
        <v>327.4128</v>
      </c>
      <c r="M36" s="38" t="n">
        <f aca="false">M8*Assumptions!$C$86</f>
        <v>322.8336</v>
      </c>
    </row>
    <row r="37" customFormat="false" ht="15" hidden="false" customHeight="false" outlineLevel="0" collapsed="false">
      <c r="B37" s="21" t="s">
        <v>201</v>
      </c>
      <c r="D37" s="38" t="n">
        <f aca="false">-D36</f>
        <v>-0</v>
      </c>
      <c r="E37" s="38" t="n">
        <f aca="false">-(E36-D36)</f>
        <v>-108.438</v>
      </c>
      <c r="F37" s="38" t="n">
        <f aca="false">-(F36-E36)</f>
        <v>-138.012</v>
      </c>
      <c r="G37" s="38" t="n">
        <f aca="false">-(G36-F36)</f>
        <v>-45.474</v>
      </c>
      <c r="H37" s="38" t="n">
        <f aca="false">-(H36-G36)</f>
        <v>-34.5984</v>
      </c>
      <c r="I37" s="38" t="n">
        <f aca="false">-(I36-H36)</f>
        <v>-10.83744</v>
      </c>
      <c r="J37" s="38" t="n">
        <f aca="false">-(J36-I36)</f>
        <v>0.788639999999987</v>
      </c>
      <c r="K37" s="38" t="n">
        <f aca="false">-(K36-J36)</f>
        <v>4.57920000000001</v>
      </c>
      <c r="L37" s="38" t="n">
        <f aca="false">-(L36-K36)</f>
        <v>4.57919999999996</v>
      </c>
      <c r="M37" s="38" t="n">
        <f aca="false">-(M36-L36)</f>
        <v>4.57920000000007</v>
      </c>
    </row>
    <row r="38" customFormat="false" ht="15" hidden="false" customHeight="false" outlineLevel="0" collapsed="false">
      <c r="B38" s="58" t="s">
        <v>202</v>
      </c>
      <c r="D38" s="59" t="n">
        <f aca="false">D31+D32+D33+D34+D35+D37</f>
        <v>11.41364</v>
      </c>
      <c r="E38" s="59" t="n">
        <f aca="false">E31+E32+E33+E34+E35+E37</f>
        <v>109.720316</v>
      </c>
      <c r="F38" s="59" t="n">
        <f aca="false">F31+F32+F33+F34+F35+F37</f>
        <v>445.786644</v>
      </c>
      <c r="G38" s="59" t="n">
        <f aca="false">G31+G32+G33+G34+G35+G37</f>
        <v>660.629844</v>
      </c>
      <c r="H38" s="59" t="n">
        <f aca="false">H31+H32+H33+H34+H35+H37</f>
        <v>578.725764</v>
      </c>
      <c r="I38" s="59" t="n">
        <f aca="false">I31+I32+I33+I34+I35+I37</f>
        <v>455.949088032</v>
      </c>
      <c r="J38" s="59" t="n">
        <f aca="false">J31+J32+J33+J34+J35+J37</f>
        <v>299.13639888</v>
      </c>
      <c r="K38" s="59" t="n">
        <f aca="false">K31+K32+K33+K34+K35+K37</f>
        <v>130.269444</v>
      </c>
      <c r="L38" s="59" t="n">
        <f aca="false">L31+L32+L33+L34+L35+L37</f>
        <v>131.185284</v>
      </c>
      <c r="M38" s="59" t="n">
        <f aca="false">M31+M32+M33+M34+M35+M37</f>
        <v>132.101124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203</v>
      </c>
    </row>
    <row r="2" customFormat="false" ht="15" hidden="false" customHeight="false" outlineLevel="0" collapsed="false">
      <c r="B2" s="53" t="s">
        <v>204</v>
      </c>
    </row>
    <row r="4" customFormat="false" ht="15" hidden="false" customHeight="false" outlineLevel="0" collapsed="false">
      <c r="B4" s="12" t="s">
        <v>205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206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1124.928</v>
      </c>
      <c r="G6" s="60" t="n">
        <f aca="false">Assumptions!G69*Assumptions!G72</f>
        <v>1744.9344</v>
      </c>
      <c r="H6" s="60" t="n">
        <f aca="false">Assumptions!H69*Assumptions!H72</f>
        <v>2191.7952</v>
      </c>
      <c r="I6" s="60" t="n">
        <f aca="false">Assumptions!I69*Assumptions!I72</f>
        <v>2471.7312</v>
      </c>
      <c r="J6" s="60" t="n">
        <f aca="false">Assumptions!J69*Assumptions!J72</f>
        <v>2590.9632</v>
      </c>
      <c r="K6" s="60" t="n">
        <f aca="false">Assumptions!K69*Assumptions!K72</f>
        <v>2555.712</v>
      </c>
      <c r="L6" s="60" t="n">
        <f aca="false">Assumptions!L69*Assumptions!L72</f>
        <v>2520.4608</v>
      </c>
      <c r="M6" s="60" t="n">
        <f aca="false">Assumptions!M69*Assumptions!M72</f>
        <v>2485.2096</v>
      </c>
    </row>
    <row r="7" customFormat="false" ht="15" hidden="false" customHeight="false" outlineLevel="0" collapsed="false">
      <c r="B7" s="18" t="s">
        <v>207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117.18</v>
      </c>
      <c r="G7" s="60" t="n">
        <f aca="false">Assumptions!G70*Assumptions!G75</f>
        <v>181.764</v>
      </c>
      <c r="H7" s="60" t="n">
        <f aca="false">Assumptions!H70*Assumptions!H75</f>
        <v>228.312</v>
      </c>
      <c r="I7" s="60" t="n">
        <f aca="false">Assumptions!I70*Assumptions!I75</f>
        <v>257.472</v>
      </c>
      <c r="J7" s="60" t="n">
        <f aca="false">Assumptions!J70*Assumptions!J75</f>
        <v>269.892</v>
      </c>
      <c r="K7" s="60" t="n">
        <f aca="false">Assumptions!K70*Assumptions!K75</f>
        <v>266.22</v>
      </c>
      <c r="L7" s="60" t="n">
        <f aca="false">Assumptions!L70*Assumptions!L75</f>
        <v>262.548</v>
      </c>
      <c r="M7" s="60" t="n">
        <f aca="false">Assumptions!M70*Assumptions!M75</f>
        <v>258.876</v>
      </c>
    </row>
    <row r="8" customFormat="false" ht="15" hidden="false" customHeight="false" outlineLevel="0" collapsed="false">
      <c r="B8" s="55" t="s">
        <v>208</v>
      </c>
      <c r="D8" s="56" t="n">
        <f aca="false">D6+D7</f>
        <v>0</v>
      </c>
      <c r="E8" s="56" t="n">
        <f aca="false">E6+E7</f>
        <v>0</v>
      </c>
      <c r="F8" s="56" t="n">
        <f aca="false">F6+F7</f>
        <v>1242.108</v>
      </c>
      <c r="G8" s="56" t="n">
        <f aca="false">G6+G7</f>
        <v>1926.6984</v>
      </c>
      <c r="H8" s="56" t="n">
        <f aca="false">H6+H7</f>
        <v>2420.1072</v>
      </c>
      <c r="I8" s="56" t="n">
        <f aca="false">I6+I7</f>
        <v>2729.2032</v>
      </c>
      <c r="J8" s="56" t="n">
        <f aca="false">J6+J7</f>
        <v>2860.8552</v>
      </c>
      <c r="K8" s="56" t="n">
        <f aca="false">K6+K7</f>
        <v>2821.932</v>
      </c>
      <c r="L8" s="56" t="n">
        <f aca="false">L6+L7</f>
        <v>2783.0088</v>
      </c>
      <c r="M8" s="56" t="n">
        <f aca="false">M6+M7</f>
        <v>2744.0856</v>
      </c>
    </row>
    <row r="9" customFormat="false" ht="15" hidden="false" customHeight="false" outlineLevel="0" collapsed="false">
      <c r="B9" s="21" t="s">
        <v>209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-1055.7918</v>
      </c>
      <c r="G9" s="38" t="n">
        <f aca="false">-(Assumptions!G69*Assumptions!G74+Assumptions!G70*Assumptions!G77)</f>
        <v>-1637.69364</v>
      </c>
      <c r="H9" s="38" t="n">
        <f aca="false">-(Assumptions!H69*Assumptions!H74+Assumptions!H70*Assumptions!H77)</f>
        <v>-2057.09112</v>
      </c>
      <c r="I9" s="38" t="n">
        <f aca="false">-(Assumptions!I69*Assumptions!I74+Assumptions!I70*Assumptions!I77)</f>
        <v>-2319.82272</v>
      </c>
      <c r="J9" s="38" t="n">
        <f aca="false">-(Assumptions!J69*Assumptions!J74+Assumptions!J70*Assumptions!J77)</f>
        <v>-2431.72692</v>
      </c>
      <c r="K9" s="38" t="n">
        <f aca="false">-(Assumptions!K69*Assumptions!K74+Assumptions!K70*Assumptions!K77)</f>
        <v>-2398.6422</v>
      </c>
      <c r="L9" s="38" t="n">
        <f aca="false">-(Assumptions!L69*Assumptions!L74+Assumptions!L70*Assumptions!L77)</f>
        <v>-2365.55748</v>
      </c>
      <c r="M9" s="38" t="n">
        <f aca="false">-(Assumptions!M69*Assumptions!M74+Assumptions!M70*Assumptions!M77)</f>
        <v>-2332.47276</v>
      </c>
    </row>
    <row r="10" customFormat="false" ht="15" hidden="false" customHeight="false" outlineLevel="0" collapsed="false">
      <c r="B10" s="12" t="s">
        <v>177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0</v>
      </c>
      <c r="F12" s="56" t="n">
        <f aca="false">F8+F9</f>
        <v>186.3162</v>
      </c>
      <c r="G12" s="56" t="n">
        <f aca="false">G8+G9</f>
        <v>289.00476</v>
      </c>
      <c r="H12" s="56" t="n">
        <f aca="false">H8+H9</f>
        <v>363.01608</v>
      </c>
      <c r="I12" s="56" t="n">
        <f aca="false">I8+I9</f>
        <v>409.38048</v>
      </c>
      <c r="J12" s="56" t="n">
        <f aca="false">J8+J9</f>
        <v>429.12828</v>
      </c>
      <c r="K12" s="56" t="n">
        <f aca="false">K8+K9</f>
        <v>423.2898</v>
      </c>
      <c r="L12" s="56" t="n">
        <f aca="false">L8+L9</f>
        <v>417.451319999999</v>
      </c>
      <c r="M12" s="56" t="n">
        <f aca="false">M8+M9</f>
        <v>411.61284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-74.52648</v>
      </c>
      <c r="G13" s="38" t="n">
        <f aca="false">-G8*Assumptions!$C$81</f>
        <v>-115.601904</v>
      </c>
      <c r="H13" s="38" t="n">
        <f aca="false">-H8*Assumptions!$C$81</f>
        <v>-145.206432</v>
      </c>
      <c r="I13" s="38" t="n">
        <f aca="false">-I8*Assumptions!$C$81</f>
        <v>-163.752192</v>
      </c>
      <c r="J13" s="38" t="n">
        <f aca="false">-J8*Assumptions!$C$81</f>
        <v>-171.651312</v>
      </c>
      <c r="K13" s="38" t="n">
        <f aca="false">-K8*Assumptions!$C$81</f>
        <v>-169.31592</v>
      </c>
      <c r="L13" s="38" t="n">
        <f aca="false">-L8*Assumptions!$C$81</f>
        <v>-166.980528</v>
      </c>
      <c r="M13" s="38" t="n">
        <f aca="false">-M8*Assumptions!$C$81</f>
        <v>-164.645136</v>
      </c>
    </row>
    <row r="14" customFormat="false" ht="15" hidden="false" customHeight="false" outlineLevel="0" collapsed="false">
      <c r="B14" s="21" t="s">
        <v>180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183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45.0897200000002</v>
      </c>
      <c r="G16" s="56" t="n">
        <f aca="false">G12+G13+G15</f>
        <v>106.702856</v>
      </c>
      <c r="H16" s="56" t="n">
        <f aca="false">H12+H13+H15</f>
        <v>151.109648</v>
      </c>
      <c r="I16" s="56" t="n">
        <f aca="false">I12+I13+I15</f>
        <v>178.928288</v>
      </c>
      <c r="J16" s="56" t="n">
        <f aca="false">J12+J13+J15</f>
        <v>190.776968</v>
      </c>
      <c r="K16" s="56" t="n">
        <f aca="false">K12+K13+K15</f>
        <v>187.27388</v>
      </c>
      <c r="L16" s="56" t="n">
        <f aca="false">L12+L13+L15</f>
        <v>183.770791999999</v>
      </c>
      <c r="M16" s="56" t="n">
        <f aca="false">M12+M13+M15</f>
        <v>180.267704</v>
      </c>
    </row>
    <row r="17" customFormat="false" ht="15" hidden="false" customHeight="false" outlineLevel="0" collapsed="false">
      <c r="B17" s="21" t="s">
        <v>184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0.0363009657775332</v>
      </c>
      <c r="G17" s="57" t="n">
        <f aca="false">IF(G8=0,0,G16/G8)</f>
        <v>0.0553811930294851</v>
      </c>
      <c r="H17" s="57" t="n">
        <f aca="false">IF(H8=0,0,H16/H8)</f>
        <v>0.0624392374023762</v>
      </c>
      <c r="I17" s="57" t="n">
        <f aca="false">IF(I8=0,0,I16/I8)</f>
        <v>0.065560632495228</v>
      </c>
      <c r="J17" s="57" t="n">
        <f aca="false">IF(J8=0,0,J16/J8)</f>
        <v>0.0666852932647554</v>
      </c>
      <c r="K17" s="57" t="n">
        <f aca="false">IF(K8=0,0,K16/K8)</f>
        <v>0.0663637111028898</v>
      </c>
      <c r="L17" s="57" t="n">
        <f aca="false">IF(L8=0,0,L16/L8)</f>
        <v>0.0660331336357971</v>
      </c>
      <c r="M17" s="57" t="n">
        <f aca="false">IF(M8=0,0,M16/M8)</f>
        <v>0.0656931780845322</v>
      </c>
    </row>
    <row r="18" customFormat="false" ht="15" hidden="false" customHeight="false" outlineLevel="0" collapsed="false">
      <c r="B18" s="21" t="s">
        <v>185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374.22</v>
      </c>
      <c r="G18" s="38" t="n">
        <f aca="false">(Assumptions!G69+Assumptions!G70)*Assumptions!G8</f>
        <v>588.06</v>
      </c>
      <c r="H18" s="38" t="n">
        <f aca="false">(Assumptions!H69+Assumptions!H70)*Assumptions!H8</f>
        <v>561.33</v>
      </c>
      <c r="I18" s="38" t="n">
        <f aca="false">(Assumptions!I69+Assumptions!I70)*Assumptions!I8</f>
        <v>427.68</v>
      </c>
      <c r="J18" s="38" t="n">
        <f aca="false">(Assumptions!J69+Assumptions!J70)*Assumptions!J8</f>
        <v>227.205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186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419.30972</v>
      </c>
      <c r="G19" s="56" t="n">
        <f aca="false">G16+G18</f>
        <v>694.762856</v>
      </c>
      <c r="H19" s="56" t="n">
        <f aca="false">H16+H18</f>
        <v>712.439648</v>
      </c>
      <c r="I19" s="56" t="n">
        <f aca="false">I16+I18</f>
        <v>606.608288</v>
      </c>
      <c r="J19" s="56" t="n">
        <f aca="false">J16+J18</f>
        <v>417.981968</v>
      </c>
      <c r="K19" s="56" t="n">
        <f aca="false">K16+K18</f>
        <v>187.27388</v>
      </c>
      <c r="L19" s="56" t="n">
        <f aca="false">L16+L18</f>
        <v>183.770791999999</v>
      </c>
      <c r="M19" s="56" t="n">
        <f aca="false">M16+M18</f>
        <v>180.267704</v>
      </c>
    </row>
    <row r="21" customFormat="false" ht="15" hidden="false" customHeight="false" outlineLevel="0" collapsed="false">
      <c r="B21" s="12" t="s">
        <v>187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172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188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45.0897200000002</v>
      </c>
      <c r="G23" s="38" t="n">
        <f aca="false">MAX(0,G16)</f>
        <v>106.702856</v>
      </c>
      <c r="H23" s="38" t="n">
        <f aca="false">MAX(0,H16)</f>
        <v>151.109648</v>
      </c>
      <c r="I23" s="38" t="n">
        <f aca="false">MAX(0,I16)</f>
        <v>178.928288</v>
      </c>
      <c r="J23" s="38" t="n">
        <f aca="false">MAX(0,J16)</f>
        <v>190.776968</v>
      </c>
      <c r="K23" s="38" t="n">
        <f aca="false">MAX(0,K16)</f>
        <v>187.27388</v>
      </c>
      <c r="L23" s="38" t="n">
        <f aca="false">MAX(0,L16)</f>
        <v>183.770791999999</v>
      </c>
      <c r="M23" s="38" t="n">
        <f aca="false">MAX(0,M16)</f>
        <v>180.267704</v>
      </c>
    </row>
    <row r="24" customFormat="false" ht="15" hidden="false" customHeight="false" outlineLevel="0" collapsed="false">
      <c r="B24" s="21" t="s">
        <v>189</v>
      </c>
      <c r="D24" s="38" t="n">
        <f aca="false">Assumptions!$C$89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23.9582239999998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190</v>
      </c>
      <c r="D25" s="38" t="n">
        <f aca="false">MIN(D24,D23*Assumptions!$C$90)</f>
        <v>0</v>
      </c>
      <c r="E25" s="38" t="n">
        <f aca="false">MIN(E24,E23*Assumptions!$C$90)</f>
        <v>0</v>
      </c>
      <c r="F25" s="38" t="n">
        <f aca="false">MIN(F24,F23*Assumptions!$C$90)</f>
        <v>36.0717760000002</v>
      </c>
      <c r="G25" s="38" t="n">
        <f aca="false">MIN(G24,G23*Assumptions!$C$90)</f>
        <v>23.9582239999998</v>
      </c>
      <c r="H25" s="38" t="n">
        <f aca="false">MIN(H24,H23*Assumptions!$C$90)</f>
        <v>0</v>
      </c>
      <c r="I25" s="38" t="n">
        <f aca="false">MIN(I24,I23*Assumptions!$C$90)</f>
        <v>0</v>
      </c>
      <c r="J25" s="38" t="n">
        <f aca="false">MIN(J24,J23*Assumptions!$C$90)</f>
        <v>0</v>
      </c>
      <c r="K25" s="38" t="n">
        <f aca="false">MIN(K24,K23*Assumptions!$C$90)</f>
        <v>0</v>
      </c>
      <c r="L25" s="38" t="n">
        <f aca="false">MIN(L24,L23*Assumptions!$C$90)</f>
        <v>0</v>
      </c>
      <c r="M25" s="38" t="n">
        <f aca="false">MIN(M24,M23*Assumptions!$C$90)</f>
        <v>0</v>
      </c>
    </row>
    <row r="26" customFormat="false" ht="15" hidden="false" customHeight="false" outlineLevel="0" collapsed="false">
      <c r="B26" s="21" t="s">
        <v>191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192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23.9582239999998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193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9.01794400000004</v>
      </c>
      <c r="G28" s="38" t="n">
        <f aca="false">G23-G25</f>
        <v>82.7446320000002</v>
      </c>
      <c r="H28" s="38" t="n">
        <f aca="false">H23-H25</f>
        <v>151.109648</v>
      </c>
      <c r="I28" s="38" t="n">
        <f aca="false">I23-I25</f>
        <v>178.928288</v>
      </c>
      <c r="J28" s="38" t="n">
        <f aca="false">J23-J25</f>
        <v>190.776968</v>
      </c>
      <c r="K28" s="38" t="n">
        <f aca="false">K23-K25</f>
        <v>187.27388</v>
      </c>
      <c r="L28" s="38" t="n">
        <f aca="false">L23-L25</f>
        <v>183.770791999999</v>
      </c>
      <c r="M28" s="38" t="n">
        <f aca="false">M23-M25</f>
        <v>180.267704</v>
      </c>
    </row>
    <row r="29" customFormat="false" ht="15" hidden="false" customHeight="false" outlineLevel="0" collapsed="false">
      <c r="B29" s="18" t="s">
        <v>194</v>
      </c>
      <c r="D29" s="38" t="n">
        <f aca="false">-D28*Assumptions!$C$87</f>
        <v>-0</v>
      </c>
      <c r="E29" s="38" t="n">
        <f aca="false">-E28*Assumptions!$C$87</f>
        <v>-0</v>
      </c>
      <c r="F29" s="38" t="n">
        <f aca="false">-F28*Assumptions!$C$87</f>
        <v>-2.07412712000001</v>
      </c>
      <c r="G29" s="38" t="n">
        <f aca="false">-G28*Assumptions!$C$87</f>
        <v>-19.0312653600001</v>
      </c>
      <c r="H29" s="38" t="n">
        <f aca="false">-H28*Assumptions!$C$87</f>
        <v>-34.75521904</v>
      </c>
      <c r="I29" s="38" t="n">
        <f aca="false">-I28*Assumptions!$C$87</f>
        <v>-41.1535062400001</v>
      </c>
      <c r="J29" s="38" t="n">
        <f aca="false">-J28*Assumptions!$C$87</f>
        <v>-43.8787026400001</v>
      </c>
      <c r="K29" s="38" t="n">
        <f aca="false">-K28*Assumptions!$C$87</f>
        <v>-43.0729924</v>
      </c>
      <c r="L29" s="38" t="n">
        <f aca="false">-L28*Assumptions!$C$87</f>
        <v>-42.2672821599998</v>
      </c>
      <c r="M29" s="38" t="n">
        <f aca="false">-M28*Assumptions!$C$87</f>
        <v>-41.4615719200001</v>
      </c>
    </row>
    <row r="30" customFormat="false" ht="15" hidden="false" customHeight="false" outlineLevel="0" collapsed="false">
      <c r="B30" s="55" t="s">
        <v>195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417.23559288</v>
      </c>
      <c r="G30" s="56" t="n">
        <f aca="false">G19+G29</f>
        <v>675.73159064</v>
      </c>
      <c r="H30" s="56" t="n">
        <f aca="false">H19+H29</f>
        <v>677.68442896</v>
      </c>
      <c r="I30" s="56" t="n">
        <f aca="false">I19+I29</f>
        <v>565.45478176</v>
      </c>
      <c r="J30" s="56" t="n">
        <f aca="false">J19+J29</f>
        <v>374.10326536</v>
      </c>
      <c r="K30" s="56" t="n">
        <f aca="false">K19+K29</f>
        <v>144.2008876</v>
      </c>
      <c r="L30" s="56" t="n">
        <f aca="false">L19+L29</f>
        <v>141.503509839999</v>
      </c>
      <c r="M30" s="56" t="n">
        <f aca="false">M19+M29</f>
        <v>138.80613208</v>
      </c>
    </row>
    <row r="31" customFormat="false" ht="15" hidden="false" customHeight="false" outlineLevel="0" collapsed="false">
      <c r="B31" s="21" t="s">
        <v>196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197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-37.26324</v>
      </c>
      <c r="G32" s="38" t="n">
        <f aca="false">-G8*Assumptions!$C$83</f>
        <v>-57.800952</v>
      </c>
      <c r="H32" s="38" t="n">
        <f aca="false">-H8*Assumptions!$C$83</f>
        <v>-72.603216</v>
      </c>
      <c r="I32" s="38" t="n">
        <f aca="false">-I8*Assumptions!$C$83</f>
        <v>-81.876096</v>
      </c>
      <c r="J32" s="38" t="n">
        <f aca="false">-J8*Assumptions!$C$83</f>
        <v>-85.825656</v>
      </c>
      <c r="K32" s="38" t="n">
        <f aca="false">-K8*Assumptions!$C$83</f>
        <v>-84.65796</v>
      </c>
      <c r="L32" s="38" t="n">
        <f aca="false">-L8*Assumptions!$C$83</f>
        <v>-83.490264</v>
      </c>
      <c r="M32" s="38" t="n">
        <f aca="false">-M8*Assumptions!$C$83</f>
        <v>-82.322568</v>
      </c>
    </row>
    <row r="33" customFormat="false" ht="15" hidden="false" customHeight="false" outlineLevel="0" collapsed="false">
      <c r="B33" s="21" t="s">
        <v>198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199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200</v>
      </c>
      <c r="D35" s="38" t="n">
        <f aca="false">D8*Assumptions!$C$86</f>
        <v>0</v>
      </c>
      <c r="E35" s="38" t="n">
        <f aca="false">E8*Assumptions!$C$86</f>
        <v>0</v>
      </c>
      <c r="F35" s="38" t="n">
        <f aca="false">F8*Assumptions!$C$86</f>
        <v>186.3162</v>
      </c>
      <c r="G35" s="38" t="n">
        <f aca="false">G8*Assumptions!$C$86</f>
        <v>289.00476</v>
      </c>
      <c r="H35" s="38" t="n">
        <f aca="false">H8*Assumptions!$C$86</f>
        <v>363.01608</v>
      </c>
      <c r="I35" s="38" t="n">
        <f aca="false">I8*Assumptions!$C$86</f>
        <v>409.38048</v>
      </c>
      <c r="J35" s="38" t="n">
        <f aca="false">J8*Assumptions!$C$86</f>
        <v>429.12828</v>
      </c>
      <c r="K35" s="38" t="n">
        <f aca="false">K8*Assumptions!$C$86</f>
        <v>423.2898</v>
      </c>
      <c r="L35" s="38" t="n">
        <f aca="false">L8*Assumptions!$C$86</f>
        <v>417.45132</v>
      </c>
      <c r="M35" s="38" t="n">
        <f aca="false">M8*Assumptions!$C$86</f>
        <v>411.61284</v>
      </c>
    </row>
    <row r="36" customFormat="false" ht="15" hidden="false" customHeight="false" outlineLevel="0" collapsed="false">
      <c r="B36" s="21" t="s">
        <v>201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-186.3162</v>
      </c>
      <c r="G36" s="38" t="n">
        <f aca="false">-(G35-F35)</f>
        <v>-102.68856</v>
      </c>
      <c r="H36" s="38" t="n">
        <f aca="false">-(H35-G35)</f>
        <v>-74.01132</v>
      </c>
      <c r="I36" s="38" t="n">
        <f aca="false">-(I35-H35)</f>
        <v>-46.3644</v>
      </c>
      <c r="J36" s="38" t="n">
        <f aca="false">-(J35-I35)</f>
        <v>-19.7477999999999</v>
      </c>
      <c r="K36" s="38" t="n">
        <f aca="false">-(K35-J35)</f>
        <v>5.83848</v>
      </c>
      <c r="L36" s="38" t="n">
        <f aca="false">-(L35-K35)</f>
        <v>5.83848</v>
      </c>
      <c r="M36" s="38" t="n">
        <f aca="false">-(M35-L35)</f>
        <v>5.83848</v>
      </c>
    </row>
    <row r="37" customFormat="false" ht="15" hidden="false" customHeight="false" outlineLevel="0" collapsed="false">
      <c r="B37" s="58" t="s">
        <v>202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-9.64384711999981</v>
      </c>
      <c r="G37" s="59" t="n">
        <f aca="false">G30+G31+G32+G33+G34+G36</f>
        <v>581.94207864</v>
      </c>
      <c r="H37" s="59" t="n">
        <f aca="false">H30+H31+H32+H33+H34+H36</f>
        <v>597.76989296</v>
      </c>
      <c r="I37" s="59" t="n">
        <f aca="false">I30+I31+I32+I33+I34+I36</f>
        <v>503.91428576</v>
      </c>
      <c r="J37" s="59" t="n">
        <f aca="false">J30+J31+J32+J33+J34+J36</f>
        <v>335.22980936</v>
      </c>
      <c r="K37" s="59" t="n">
        <f aca="false">K30+K31+K32+K33+K34+K36</f>
        <v>132.0814076</v>
      </c>
      <c r="L37" s="59" t="n">
        <f aca="false">L30+L31+L32+L33+L34+L36</f>
        <v>130.551725839999</v>
      </c>
      <c r="M37" s="59" t="n">
        <f aca="false">M30+M31+M32+M33+M34+M36</f>
        <v>129.02204408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53" t="s">
        <v>211</v>
      </c>
    </row>
    <row r="4" customFormat="false" ht="15" hidden="false" customHeight="false" outlineLevel="0" collapsed="false">
      <c r="B4" s="43" t="s">
        <v>212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213</v>
      </c>
      <c r="D6" s="62" t="n">
        <f aca="false">SKBA!D8</f>
        <v>0</v>
      </c>
      <c r="E6" s="62" t="n">
        <f aca="false">SKBA!E8</f>
        <v>722.92</v>
      </c>
      <c r="F6" s="62" t="n">
        <f aca="false">SKBA!F8</f>
        <v>1643</v>
      </c>
      <c r="G6" s="62" t="n">
        <f aca="false">SKBA!G8</f>
        <v>1946.16</v>
      </c>
      <c r="H6" s="62" t="n">
        <f aca="false">SKBA!H8</f>
        <v>2176.816</v>
      </c>
      <c r="I6" s="62" t="n">
        <f aca="false">SKBA!I8</f>
        <v>2249.0656</v>
      </c>
      <c r="J6" s="62" t="n">
        <f aca="false">SKBA!J8</f>
        <v>2243.808</v>
      </c>
      <c r="K6" s="62" t="n">
        <f aca="false">SKBA!K8</f>
        <v>2213.28</v>
      </c>
      <c r="L6" s="62" t="n">
        <f aca="false">SKBA!L8</f>
        <v>2182.752</v>
      </c>
      <c r="M6" s="62" t="n">
        <f aca="false">SKBA!M8</f>
        <v>2152.224</v>
      </c>
    </row>
    <row r="7" customFormat="false" ht="15" hidden="false" customHeight="false" outlineLevel="0" collapsed="false">
      <c r="B7" s="63" t="s">
        <v>214</v>
      </c>
      <c r="D7" s="64" t="n">
        <f aca="false">SKOT!D8</f>
        <v>0</v>
      </c>
      <c r="E7" s="64" t="n">
        <f aca="false">SKOT!E8</f>
        <v>0</v>
      </c>
      <c r="F7" s="64" t="n">
        <f aca="false">SKOT!F8</f>
        <v>1242.108</v>
      </c>
      <c r="G7" s="64" t="n">
        <f aca="false">SKOT!G8</f>
        <v>1926.6984</v>
      </c>
      <c r="H7" s="64" t="n">
        <f aca="false">SKOT!H8</f>
        <v>2420.1072</v>
      </c>
      <c r="I7" s="64" t="n">
        <f aca="false">SKOT!I8</f>
        <v>2729.2032</v>
      </c>
      <c r="J7" s="64" t="n">
        <f aca="false">SKOT!J8</f>
        <v>2860.8552</v>
      </c>
      <c r="K7" s="64" t="n">
        <f aca="false">SKOT!K8</f>
        <v>2821.932</v>
      </c>
      <c r="L7" s="64" t="n">
        <f aca="false">SKOT!L8</f>
        <v>2783.0088</v>
      </c>
      <c r="M7" s="64" t="n">
        <f aca="false">SKOT!M8</f>
        <v>2744.0856</v>
      </c>
    </row>
    <row r="8" customFormat="false" ht="15" hidden="false" customHeight="false" outlineLevel="0" collapsed="false">
      <c r="B8" s="55" t="s">
        <v>215</v>
      </c>
      <c r="D8" s="56" t="n">
        <f aca="false">D6+D7</f>
        <v>0</v>
      </c>
      <c r="E8" s="56" t="n">
        <f aca="false">E6+E7</f>
        <v>722.92</v>
      </c>
      <c r="F8" s="56" t="n">
        <f aca="false">F6+F7</f>
        <v>2885.108</v>
      </c>
      <c r="G8" s="56" t="n">
        <f aca="false">G6+G7</f>
        <v>3872.8584</v>
      </c>
      <c r="H8" s="56" t="n">
        <f aca="false">H6+H7</f>
        <v>4596.9232</v>
      </c>
      <c r="I8" s="56" t="n">
        <f aca="false">I6+I7</f>
        <v>4978.2688</v>
      </c>
      <c r="J8" s="56" t="n">
        <f aca="false">J6+J7</f>
        <v>5104.6632</v>
      </c>
      <c r="K8" s="56" t="n">
        <f aca="false">K6+K7</f>
        <v>5035.212</v>
      </c>
      <c r="L8" s="56" t="n">
        <f aca="false">L6+L7</f>
        <v>4965.7608</v>
      </c>
      <c r="M8" s="56" t="n">
        <f aca="false">M6+M7</f>
        <v>4896.3096</v>
      </c>
    </row>
    <row r="9" customFormat="false" ht="15" hidden="false" customHeight="false" outlineLevel="0" collapsed="false">
      <c r="B9" s="21" t="s">
        <v>216</v>
      </c>
      <c r="D9" s="54" t="n">
        <f aca="false">SKBA!D6+Assumptions!D69+Assumptions!D70</f>
        <v>0</v>
      </c>
      <c r="E9" s="54" t="n">
        <f aca="false">SKBA!E6+Assumptions!E69+Assumptions!E70</f>
        <v>4.664</v>
      </c>
      <c r="F9" s="54" t="n">
        <f aca="false">SKBA!F6+Assumptions!F69+Assumptions!F70</f>
        <v>18.916</v>
      </c>
      <c r="G9" s="54" t="n">
        <f aca="false">SKBA!G6+Assumptions!G69+Assumptions!G70</f>
        <v>25.788</v>
      </c>
      <c r="H9" s="54" t="n">
        <f aca="false">SKBA!H6+Assumptions!H69+Assumptions!H70</f>
        <v>31.048</v>
      </c>
      <c r="I9" s="54" t="n">
        <f aca="false">SKBA!I6+Assumptions!I69+Assumptions!I70</f>
        <v>34.1024</v>
      </c>
      <c r="J9" s="54" t="n">
        <f aca="false">SKBA!J6+Assumptions!J69+Assumptions!J70</f>
        <v>35.46</v>
      </c>
      <c r="K9" s="54" t="n">
        <f aca="false">SKBA!K6+Assumptions!K69+Assumptions!K70</f>
        <v>35.46</v>
      </c>
      <c r="L9" s="54" t="n">
        <f aca="false">SKBA!L6+Assumptions!L69+Assumptions!L70</f>
        <v>35.46</v>
      </c>
      <c r="M9" s="54" t="n">
        <f aca="false">SKBA!M6+Assumptions!M69+Assumptions!M70</f>
        <v>35.46</v>
      </c>
    </row>
    <row r="11" customFormat="false" ht="15" hidden="false" customHeight="false" outlineLevel="0" collapsed="false">
      <c r="B11" s="43" t="s">
        <v>217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218</v>
      </c>
      <c r="D13" s="38" t="n">
        <f aca="false">SKBA!D17+SKOT!D16</f>
        <v>173.32</v>
      </c>
      <c r="E13" s="38" t="n">
        <f aca="false">SKBA!E17+SKOT!E16</f>
        <v>127.964</v>
      </c>
      <c r="F13" s="38" t="n">
        <f aca="false">SKBA!F17+SKOT!F16</f>
        <v>217.07572</v>
      </c>
      <c r="G13" s="38" t="n">
        <f aca="false">SKBA!G17+SKOT!G16</f>
        <v>278.688856</v>
      </c>
      <c r="H13" s="38" t="n">
        <f aca="false">SKBA!H17+SKOT!H16</f>
        <v>323.095648</v>
      </c>
      <c r="I13" s="38" t="n">
        <f aca="false">SKBA!I17+SKOT!I16</f>
        <v>353.582896</v>
      </c>
      <c r="J13" s="38" t="n">
        <f aca="false">SKBA!J17+SKOT!J16</f>
        <v>364.705688</v>
      </c>
      <c r="K13" s="38" t="n">
        <f aca="false">SKBA!K17+SKOT!K16</f>
        <v>359.25988</v>
      </c>
      <c r="L13" s="38" t="n">
        <f aca="false">SKBA!L17+SKOT!L16</f>
        <v>355.756791999999</v>
      </c>
      <c r="M13" s="38" t="n">
        <f aca="false">SKBA!M17+SKOT!M16</f>
        <v>352.253704</v>
      </c>
    </row>
    <row r="14" customFormat="false" ht="15" hidden="false" customHeight="false" outlineLevel="0" collapsed="false">
      <c r="B14" s="21" t="s">
        <v>184</v>
      </c>
      <c r="D14" s="57" t="n">
        <f aca="false">IF(D8=0,0,D13/D8)</f>
        <v>0</v>
      </c>
      <c r="E14" s="57" t="n">
        <f aca="false">IF(E8=0,0,E13/E8)</f>
        <v>0.177009904277098</v>
      </c>
      <c r="F14" s="57" t="n">
        <f aca="false">IF(F8=0,0,F13/F8)</f>
        <v>0.0752400672695789</v>
      </c>
      <c r="G14" s="57" t="n">
        <f aca="false">IF(G8=0,0,G13/G8)</f>
        <v>0.0719594746867068</v>
      </c>
      <c r="H14" s="57" t="n">
        <f aca="false">IF(H8=0,0,H13/H8)</f>
        <v>0.0702851959763</v>
      </c>
      <c r="I14" s="57" t="n">
        <f aca="false">IF(I8=0,0,I13/I8)</f>
        <v>0.0710252720785186</v>
      </c>
      <c r="J14" s="57" t="n">
        <f aca="false">IF(J8=0,0,J13/J8)</f>
        <v>0.0714455927278416</v>
      </c>
      <c r="K14" s="57" t="n">
        <f aca="false">IF(K8=0,0,K13/K8)</f>
        <v>0.0713495042512609</v>
      </c>
      <c r="L14" s="57" t="n">
        <f aca="false">IF(L8=0,0,L13/L8)</f>
        <v>0.071641951017858</v>
      </c>
      <c r="M14" s="57" t="n">
        <f aca="false">IF(M8=0,0,M13/M8)</f>
        <v>0.0719426941466284</v>
      </c>
    </row>
    <row r="15" customFormat="false" ht="15" hidden="false" customHeight="false" outlineLevel="0" collapsed="false">
      <c r="B15" s="21" t="s">
        <v>185</v>
      </c>
      <c r="D15" s="38" t="n">
        <f aca="false">SKBA!D19+SKOT!D18</f>
        <v>0</v>
      </c>
      <c r="E15" s="38" t="n">
        <f aca="false">SKBA!E19+SKOT!E18</f>
        <v>209.88</v>
      </c>
      <c r="F15" s="38" t="n">
        <f aca="false">SKBA!F19+SKOT!F18</f>
        <v>851.22</v>
      </c>
      <c r="G15" s="38" t="n">
        <f aca="false">SKBA!G19+SKOT!G18</f>
        <v>1160.46</v>
      </c>
      <c r="H15" s="38" t="n">
        <f aca="false">SKBA!H19+SKOT!H18</f>
        <v>1047.87</v>
      </c>
      <c r="I15" s="38" t="n">
        <f aca="false">SKBA!I19+SKOT!I18</f>
        <v>767.304</v>
      </c>
      <c r="J15" s="38" t="n">
        <f aca="false">SKBA!J19+SKOT!J18</f>
        <v>398.925</v>
      </c>
      <c r="K15" s="38" t="n">
        <f aca="false">SKBA!K19+SKOT!K18</f>
        <v>0</v>
      </c>
      <c r="L15" s="38" t="n">
        <f aca="false">SKBA!L19+SKOT!L18</f>
        <v>0</v>
      </c>
      <c r="M15" s="38" t="n">
        <f aca="false">SKBA!M19+SKOT!M18</f>
        <v>0</v>
      </c>
    </row>
    <row r="16" customFormat="false" ht="15" hidden="false" customHeight="false" outlineLevel="0" collapsed="false">
      <c r="B16" s="55" t="s">
        <v>219</v>
      </c>
      <c r="D16" s="56" t="n">
        <f aca="false">SKBA!D20+SKOT!D19</f>
        <v>173.32</v>
      </c>
      <c r="E16" s="56" t="n">
        <f aca="false">SKBA!E20+SKOT!E19</f>
        <v>337.844</v>
      </c>
      <c r="F16" s="56" t="n">
        <f aca="false">SKBA!F20+SKOT!F19</f>
        <v>1068.29572</v>
      </c>
      <c r="G16" s="56" t="n">
        <f aca="false">SKBA!G20+SKOT!G19</f>
        <v>1439.148856</v>
      </c>
      <c r="H16" s="56" t="n">
        <f aca="false">SKBA!H20+SKOT!H19</f>
        <v>1370.965648</v>
      </c>
      <c r="I16" s="56" t="n">
        <f aca="false">SKBA!I20+SKOT!I19</f>
        <v>1120.886896</v>
      </c>
      <c r="J16" s="56" t="n">
        <f aca="false">SKBA!J20+SKOT!J19</f>
        <v>763.630688</v>
      </c>
      <c r="K16" s="56" t="n">
        <f aca="false">SKBA!K20+SKOT!K19</f>
        <v>359.25988</v>
      </c>
      <c r="L16" s="56" t="n">
        <f aca="false">SKBA!L20+SKOT!L19</f>
        <v>355.756791999999</v>
      </c>
      <c r="M16" s="56" t="n">
        <f aca="false">SKBA!M20+SKOT!M19</f>
        <v>352.253704</v>
      </c>
    </row>
    <row r="17" customFormat="false" ht="15" hidden="false" customHeight="false" outlineLevel="0" collapsed="false">
      <c r="B17" s="21" t="s">
        <v>220</v>
      </c>
      <c r="D17" s="57" t="n">
        <f aca="false">IF(D8=0,0,D16/D8)</f>
        <v>0</v>
      </c>
      <c r="E17" s="57" t="n">
        <f aca="false">IF(E8=0,0,E16/E8)</f>
        <v>0.46733248492226</v>
      </c>
      <c r="F17" s="57" t="n">
        <f aca="false">IF(F8=0,0,F16/F8)</f>
        <v>0.37027928243934</v>
      </c>
      <c r="G17" s="57" t="n">
        <f aca="false">IF(G8=0,0,G16/G8)</f>
        <v>0.371598624932944</v>
      </c>
      <c r="H17" s="57" t="n">
        <f aca="false">IF(H8=0,0,H16/H8)</f>
        <v>0.298235491078032</v>
      </c>
      <c r="I17" s="57" t="n">
        <f aca="false">IF(I8=0,0,I16/I8)</f>
        <v>0.225155961044129</v>
      </c>
      <c r="J17" s="57" t="n">
        <f aca="false">IF(J8=0,0,J16/J8)</f>
        <v>0.149594725074124</v>
      </c>
      <c r="K17" s="57" t="n">
        <f aca="false">IF(K8=0,0,K16/K8)</f>
        <v>0.0713495042512609</v>
      </c>
      <c r="L17" s="57" t="n">
        <f aca="false">IF(L8=0,0,L16/L8)</f>
        <v>0.071641951017858</v>
      </c>
      <c r="M17" s="57" t="n">
        <f aca="false">IF(M8=0,0,M16/M8)</f>
        <v>0.0719426941466284</v>
      </c>
    </row>
    <row r="18" customFormat="false" ht="15" hidden="false" customHeight="false" outlineLevel="0" collapsed="false">
      <c r="B18" s="21" t="s">
        <v>196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221</v>
      </c>
      <c r="D19" s="56" t="n">
        <f aca="false">D16+D18</f>
        <v>200</v>
      </c>
      <c r="E19" s="56" t="n">
        <f aca="false">E16+E18</f>
        <v>409.88</v>
      </c>
      <c r="F19" s="56" t="n">
        <f aca="false">F16+F18</f>
        <v>1163.00972</v>
      </c>
      <c r="G19" s="56" t="n">
        <f aca="false">G16+G18</f>
        <v>1533.862856</v>
      </c>
      <c r="H19" s="56" t="n">
        <f aca="false">H16+H18</f>
        <v>1465.679648</v>
      </c>
      <c r="I19" s="56" t="n">
        <f aca="false">I16+I18</f>
        <v>1215.600896</v>
      </c>
      <c r="J19" s="56" t="n">
        <f aca="false">J16+J18</f>
        <v>858.344688</v>
      </c>
      <c r="K19" s="56" t="n">
        <f aca="false">K16+K18</f>
        <v>453.97388</v>
      </c>
      <c r="L19" s="56" t="n">
        <f aca="false">L16+L18</f>
        <v>450.470791999999</v>
      </c>
      <c r="M19" s="56" t="n">
        <f aca="false">M16+M18</f>
        <v>446.967704</v>
      </c>
    </row>
    <row r="20" customFormat="false" ht="15" hidden="false" customHeight="false" outlineLevel="0" collapsed="false">
      <c r="B20" s="21" t="s">
        <v>222</v>
      </c>
      <c r="D20" s="57" t="n">
        <f aca="false">IF(D8=0,0,D19/D8)</f>
        <v>0</v>
      </c>
      <c r="E20" s="57" t="n">
        <f aca="false">IF(E8=0,0,E19/E8)</f>
        <v>0.566978365517623</v>
      </c>
      <c r="F20" s="57" t="n">
        <f aca="false">IF(F8=0,0,F19/F8)</f>
        <v>0.4031078628599</v>
      </c>
      <c r="G20" s="57" t="n">
        <f aca="false">IF(G8=0,0,G19/G8)</f>
        <v>0.396054463545582</v>
      </c>
      <c r="H20" s="57" t="n">
        <f aca="false">IF(H8=0,0,H19/H8)</f>
        <v>0.318839272320234</v>
      </c>
      <c r="I20" s="57" t="n">
        <f aca="false">IF(I8=0,0,I19/I8)</f>
        <v>0.24418145038693</v>
      </c>
      <c r="J20" s="57" t="n">
        <f aca="false">IF(J8=0,0,J19/J8)</f>
        <v>0.168149132346283</v>
      </c>
      <c r="K20" s="57" t="n">
        <f aca="false">IF(K8=0,0,K19/K8)</f>
        <v>0.0901598343823458</v>
      </c>
      <c r="L20" s="57" t="n">
        <f aca="false">IF(L8=0,0,L19/L8)</f>
        <v>0.0907153626892377</v>
      </c>
      <c r="M20" s="57" t="n">
        <f aca="false">IF(M8=0,0,M19/M8)</f>
        <v>0.0912866506644107</v>
      </c>
    </row>
    <row r="21" customFormat="false" ht="15" hidden="false" customHeight="false" outlineLevel="0" collapsed="false">
      <c r="B21" s="65" t="s">
        <v>223</v>
      </c>
      <c r="D21" s="39" t="n">
        <f aca="false">D19-D15</f>
        <v>200</v>
      </c>
      <c r="E21" s="39" t="n">
        <f aca="false">E19-E15</f>
        <v>200</v>
      </c>
      <c r="F21" s="39" t="n">
        <f aca="false">F19-F15</f>
        <v>311.78972</v>
      </c>
      <c r="G21" s="39" t="n">
        <f aca="false">G19-G15</f>
        <v>373.402856</v>
      </c>
      <c r="H21" s="39" t="n">
        <f aca="false">H19-H15</f>
        <v>417.809648</v>
      </c>
      <c r="I21" s="39" t="n">
        <f aca="false">I19-I15</f>
        <v>448.296896</v>
      </c>
      <c r="J21" s="39" t="n">
        <f aca="false">J19-J15</f>
        <v>459.419688</v>
      </c>
      <c r="K21" s="39" t="n">
        <f aca="false">K19-K15</f>
        <v>453.97388</v>
      </c>
      <c r="L21" s="39" t="n">
        <f aca="false">L19-L15</f>
        <v>450.470791999999</v>
      </c>
      <c r="M21" s="39" t="n">
        <f aca="false">M19-M15</f>
        <v>446.967704</v>
      </c>
    </row>
    <row r="22" customFormat="false" ht="15" hidden="false" customHeight="false" outlineLevel="0" collapsed="false">
      <c r="B22" s="21" t="s">
        <v>224</v>
      </c>
      <c r="D22" s="57" t="n">
        <f aca="false">IF(D8=0,0,D21/D8)</f>
        <v>0</v>
      </c>
      <c r="E22" s="57" t="n">
        <f aca="false">IF(E8=0,0,E21/E8)</f>
        <v>0.276655784872462</v>
      </c>
      <c r="F22" s="57" t="n">
        <f aca="false">IF(F8=0,0,F21/F8)</f>
        <v>0.108068647690139</v>
      </c>
      <c r="G22" s="57" t="n">
        <f aca="false">IF(G8=0,0,G21/G8)</f>
        <v>0.096415313299345</v>
      </c>
      <c r="H22" s="57" t="n">
        <f aca="false">IF(H8=0,0,H21/H8)</f>
        <v>0.0908889772185013</v>
      </c>
      <c r="I22" s="57" t="n">
        <f aca="false">IF(I8=0,0,I21/I8)</f>
        <v>0.0900507614213199</v>
      </c>
      <c r="J22" s="57" t="n">
        <f aca="false">IF(J8=0,0,J21/J8)</f>
        <v>0.0900000000000001</v>
      </c>
      <c r="K22" s="57" t="n">
        <f aca="false">IF(K8=0,0,K21/K8)</f>
        <v>0.0901598343823458</v>
      </c>
      <c r="L22" s="57" t="n">
        <f aca="false">IF(L8=0,0,L21/L8)</f>
        <v>0.0907153626892377</v>
      </c>
      <c r="M22" s="57" t="n">
        <f aca="false">IF(M8=0,0,M21/M8)</f>
        <v>0.0912866506644107</v>
      </c>
    </row>
    <row r="24" customFormat="false" ht="15" hidden="false" customHeight="false" outlineLevel="0" collapsed="false">
      <c r="B24" s="43" t="s">
        <v>187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172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225</v>
      </c>
      <c r="D26" s="66" t="n">
        <f aca="false">SKBA!D38</f>
        <v>11.41364</v>
      </c>
      <c r="E26" s="66" t="n">
        <f aca="false">SKBA!E38</f>
        <v>109.720316</v>
      </c>
      <c r="F26" s="66" t="n">
        <f aca="false">SKBA!F38</f>
        <v>445.786644</v>
      </c>
      <c r="G26" s="66" t="n">
        <f aca="false">SKBA!G38</f>
        <v>660.629844</v>
      </c>
      <c r="H26" s="66" t="n">
        <f aca="false">SKBA!H38</f>
        <v>578.725764</v>
      </c>
      <c r="I26" s="66" t="n">
        <f aca="false">SKBA!I38</f>
        <v>455.949088032</v>
      </c>
      <c r="J26" s="66" t="n">
        <f aca="false">SKBA!J38</f>
        <v>299.13639888</v>
      </c>
      <c r="K26" s="66" t="n">
        <f aca="false">SKBA!K38</f>
        <v>130.269444</v>
      </c>
      <c r="L26" s="66" t="n">
        <f aca="false">SKBA!L38</f>
        <v>131.185284</v>
      </c>
      <c r="M26" s="66" t="n">
        <f aca="false">SKBA!M38</f>
        <v>132.101124</v>
      </c>
    </row>
    <row r="27" customFormat="false" ht="15" hidden="false" customHeight="false" outlineLevel="0" collapsed="false">
      <c r="B27" s="21" t="s">
        <v>226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-9.64384711999981</v>
      </c>
      <c r="G27" s="66" t="n">
        <f aca="false">SKOT!G37</f>
        <v>581.94207864</v>
      </c>
      <c r="H27" s="66" t="n">
        <f aca="false">SKOT!H37</f>
        <v>597.76989296</v>
      </c>
      <c r="I27" s="66" t="n">
        <f aca="false">SKOT!I37</f>
        <v>503.91428576</v>
      </c>
      <c r="J27" s="66" t="n">
        <f aca="false">SKOT!J37</f>
        <v>335.22980936</v>
      </c>
      <c r="K27" s="66" t="n">
        <f aca="false">SKOT!K37</f>
        <v>132.0814076</v>
      </c>
      <c r="L27" s="66" t="n">
        <f aca="false">SKOT!L37</f>
        <v>130.551725839999</v>
      </c>
      <c r="M27" s="66" t="n">
        <f aca="false">SKOT!M37</f>
        <v>129.02204408</v>
      </c>
    </row>
    <row r="28" customFormat="false" ht="15" hidden="false" customHeight="false" outlineLevel="0" collapsed="false">
      <c r="B28" s="58" t="s">
        <v>227</v>
      </c>
      <c r="D28" s="59" t="n">
        <f aca="false">D26+D27</f>
        <v>-168.58636</v>
      </c>
      <c r="E28" s="59" t="n">
        <f aca="false">E26+E27</f>
        <v>-340.279684</v>
      </c>
      <c r="F28" s="59" t="n">
        <f aca="false">F26+F27</f>
        <v>436.14279688</v>
      </c>
      <c r="G28" s="59" t="n">
        <f aca="false">G26+G27</f>
        <v>1242.57192264</v>
      </c>
      <c r="H28" s="59" t="n">
        <f aca="false">H26+H27</f>
        <v>1176.49565696</v>
      </c>
      <c r="I28" s="59" t="n">
        <f aca="false">I26+I27</f>
        <v>959.863373792</v>
      </c>
      <c r="J28" s="59" t="n">
        <f aca="false">J26+J27</f>
        <v>634.366208240001</v>
      </c>
      <c r="K28" s="59" t="n">
        <f aca="false">K26+K27</f>
        <v>262.3508516</v>
      </c>
      <c r="L28" s="59" t="n">
        <f aca="false">L26+L27</f>
        <v>261.737009839999</v>
      </c>
      <c r="M28" s="59" t="n">
        <f aca="false">M26+M27</f>
        <v>261.12316808</v>
      </c>
    </row>
    <row r="30" customFormat="false" ht="15" hidden="false" customHeight="false" outlineLevel="0" collapsed="false">
      <c r="B30" s="4" t="s">
        <v>228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172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229</v>
      </c>
      <c r="D32" s="38" t="n">
        <f aca="false">-Assumptions!$C$103*Assumptions!$C$104</f>
        <v>-55.38</v>
      </c>
      <c r="E32" s="38" t="n">
        <f aca="false">-Assumptions!$C$103*Assumptions!$C$104</f>
        <v>-55.38</v>
      </c>
      <c r="F32" s="38" t="n">
        <f aca="false">-Assumptions!$C$103*Assumptions!$C$104</f>
        <v>-55.38</v>
      </c>
      <c r="G32" s="38" t="n">
        <f aca="false">-Assumptions!$C$103*Assumptions!$C$104</f>
        <v>-55.38</v>
      </c>
      <c r="H32" s="38" t="n">
        <f aca="false">-Assumptions!$C$103*Assumptions!$C$104</f>
        <v>-55.38</v>
      </c>
      <c r="I32" s="38" t="n">
        <f aca="false">-Assumptions!$C$103*Assumptions!$C$104</f>
        <v>-55.38</v>
      </c>
      <c r="J32" s="38" t="n">
        <f aca="false">-Assumptions!$C$103*Assumptions!$C$104</f>
        <v>-55.38</v>
      </c>
      <c r="K32" s="38" t="n">
        <f aca="false">-Assumptions!$C$103*Assumptions!$C$104</f>
        <v>-55.38</v>
      </c>
      <c r="L32" s="38" t="n">
        <f aca="false">-Assumptions!$C$103*Assumptions!$C$104</f>
        <v>-55.38</v>
      </c>
      <c r="M32" s="38" t="n">
        <f aca="false">-Assumptions!$C$103*Assumptions!$C$104</f>
        <v>-55.38</v>
      </c>
    </row>
    <row r="33" customFormat="false" ht="15" hidden="false" customHeight="false" outlineLevel="0" collapsed="false">
      <c r="B33" s="21" t="s">
        <v>230</v>
      </c>
      <c r="D33" s="38" t="n">
        <f aca="false">-D32*Assumptions!$C$87</f>
        <v>12.7374</v>
      </c>
      <c r="E33" s="38" t="n">
        <f aca="false">-E32*Assumptions!$C$87</f>
        <v>12.7374</v>
      </c>
      <c r="F33" s="38" t="n">
        <f aca="false">-F32*Assumptions!$C$87</f>
        <v>12.7374</v>
      </c>
      <c r="G33" s="38" t="n">
        <f aca="false">-G32*Assumptions!$C$87</f>
        <v>12.7374</v>
      </c>
      <c r="H33" s="38" t="n">
        <f aca="false">-H32*Assumptions!$C$87</f>
        <v>12.7374</v>
      </c>
      <c r="I33" s="38" t="n">
        <f aca="false">-I32*Assumptions!$C$87</f>
        <v>12.7374</v>
      </c>
      <c r="J33" s="38" t="n">
        <f aca="false">-J32*Assumptions!$C$87</f>
        <v>12.7374</v>
      </c>
      <c r="K33" s="38" t="n">
        <f aca="false">-K32*Assumptions!$C$87</f>
        <v>12.7374</v>
      </c>
      <c r="L33" s="38" t="n">
        <f aca="false">-L32*Assumptions!$C$87</f>
        <v>12.7374</v>
      </c>
      <c r="M33" s="38" t="n">
        <f aca="false">-M32*Assumptions!$C$87</f>
        <v>12.7374</v>
      </c>
    </row>
    <row r="34" customFormat="false" ht="15" hidden="false" customHeight="false" outlineLevel="0" collapsed="false">
      <c r="B34" s="21" t="s">
        <v>231</v>
      </c>
      <c r="D34" s="38" t="n">
        <f aca="false">-Assumptions!$C$105*Assumptions!$C$101</f>
        <v>-0</v>
      </c>
      <c r="E34" s="38" t="n">
        <f aca="false">-Assumptions!$C$105*Assumptions!$C$101</f>
        <v>-0</v>
      </c>
      <c r="F34" s="38" t="n">
        <f aca="false">-Assumptions!$C$105*Assumptions!$C$101</f>
        <v>-0</v>
      </c>
      <c r="G34" s="38" t="n">
        <f aca="false">-Assumptions!$C$105*Assumptions!$C$101</f>
        <v>-0</v>
      </c>
      <c r="H34" s="38" t="n">
        <f aca="false">-Assumptions!$C$105*Assumptions!$C$101</f>
        <v>-0</v>
      </c>
      <c r="I34" s="38" t="n">
        <f aca="false">-Assumptions!$C$105*Assumptions!$C$101</f>
        <v>-0</v>
      </c>
      <c r="J34" s="38" t="n">
        <f aca="false">-Assumptions!$C$105*Assumptions!$C$101</f>
        <v>-0</v>
      </c>
      <c r="K34" s="38" t="n">
        <f aca="false">-Assumptions!$C$105*Assumptions!$C$101</f>
        <v>-0</v>
      </c>
      <c r="L34" s="38" t="n">
        <f aca="false">-Assumptions!$C$105*Assumptions!$C$101</f>
        <v>-0</v>
      </c>
      <c r="M34" s="38" t="n">
        <f aca="false">-Assumptions!$C$105*Assumptions!$C$101</f>
        <v>-0</v>
      </c>
    </row>
    <row r="35" customFormat="false" ht="15" hidden="false" customHeight="false" outlineLevel="0" collapsed="false">
      <c r="B35" s="55" t="s">
        <v>232</v>
      </c>
      <c r="D35" s="56" t="n">
        <f aca="false">D26+D32+D33+D34</f>
        <v>-31.22896</v>
      </c>
      <c r="E35" s="56" t="n">
        <f aca="false">E26+E32+E33+E34</f>
        <v>67.077716</v>
      </c>
      <c r="F35" s="56" t="n">
        <f aca="false">F26+F32+F33+F34</f>
        <v>403.144044</v>
      </c>
      <c r="G35" s="56" t="n">
        <f aca="false">G26+G32+G33+G34</f>
        <v>617.987244</v>
      </c>
      <c r="H35" s="56" t="n">
        <f aca="false">H26+H32+H33+H34</f>
        <v>536.083164</v>
      </c>
      <c r="I35" s="56" t="n">
        <f aca="false">I26+I32+I33+I34</f>
        <v>413.306488032</v>
      </c>
      <c r="J35" s="56" t="n">
        <f aca="false">J26+J32+J33+J34</f>
        <v>256.49379888</v>
      </c>
      <c r="K35" s="56" t="n">
        <f aca="false">K26+K32+K33+K34</f>
        <v>87.626844</v>
      </c>
      <c r="L35" s="56" t="n">
        <f aca="false">L26+L32+L33+L34</f>
        <v>88.542684</v>
      </c>
      <c r="M35" s="56" t="n">
        <f aca="false">M26+M32+M33+M34</f>
        <v>89.4585240000001</v>
      </c>
    </row>
    <row r="36" customFormat="false" ht="15" hidden="false" customHeight="false" outlineLevel="0" collapsed="false">
      <c r="B36" s="21" t="s">
        <v>233</v>
      </c>
      <c r="D36" s="38" t="n">
        <f aca="false">-Assumptions!$C$107*Assumptions!$C$108</f>
        <v>-200</v>
      </c>
      <c r="E36" s="38" t="n">
        <f aca="false">-Assumptions!$C$107*Assumptions!$C$108</f>
        <v>-200</v>
      </c>
      <c r="F36" s="38" t="n">
        <f aca="false">-Assumptions!$C$107*Assumptions!$C$108</f>
        <v>-200</v>
      </c>
      <c r="G36" s="38" t="n">
        <f aca="false">-Assumptions!$C$107*Assumptions!$C$108</f>
        <v>-200</v>
      </c>
      <c r="H36" s="38" t="n">
        <f aca="false">-Assumptions!$C$107*Assumptions!$C$108</f>
        <v>-200</v>
      </c>
      <c r="I36" s="38" t="n">
        <f aca="false">-Assumptions!$C$107*Assumptions!$C$108</f>
        <v>-200</v>
      </c>
      <c r="J36" s="38" t="n">
        <f aca="false">-Assumptions!$C$107*Assumptions!$C$108</f>
        <v>-200</v>
      </c>
      <c r="K36" s="38" t="n">
        <f aca="false">-Assumptions!$C$107*Assumptions!$C$108</f>
        <v>-200</v>
      </c>
      <c r="L36" s="38" t="n">
        <f aca="false">-Assumptions!$C$107*Assumptions!$C$108</f>
        <v>-200</v>
      </c>
      <c r="M36" s="38" t="n">
        <f aca="false">-Assumptions!$C$107*Assumptions!$C$108</f>
        <v>-200</v>
      </c>
    </row>
    <row r="37" customFormat="false" ht="15" hidden="false" customHeight="false" outlineLevel="0" collapsed="false">
      <c r="B37" s="21" t="s">
        <v>234</v>
      </c>
      <c r="D37" s="38" t="n">
        <f aca="false">-D36*Assumptions!$C$87</f>
        <v>46</v>
      </c>
      <c r="E37" s="38" t="n">
        <f aca="false">-E36*Assumptions!$C$87</f>
        <v>46</v>
      </c>
      <c r="F37" s="38" t="n">
        <f aca="false">-F36*Assumptions!$C$87</f>
        <v>46</v>
      </c>
      <c r="G37" s="38" t="n">
        <f aca="false">-G36*Assumptions!$C$87</f>
        <v>46</v>
      </c>
      <c r="H37" s="38" t="n">
        <f aca="false">-H36*Assumptions!$C$87</f>
        <v>46</v>
      </c>
      <c r="I37" s="38" t="n">
        <f aca="false">-I36*Assumptions!$C$87</f>
        <v>46</v>
      </c>
      <c r="J37" s="38" t="n">
        <f aca="false">-J36*Assumptions!$C$87</f>
        <v>46</v>
      </c>
      <c r="K37" s="38" t="n">
        <f aca="false">-K36*Assumptions!$C$87</f>
        <v>46</v>
      </c>
      <c r="L37" s="38" t="n">
        <f aca="false">-L36*Assumptions!$C$87</f>
        <v>46</v>
      </c>
      <c r="M37" s="38" t="n">
        <f aca="false">-M36*Assumptions!$C$87</f>
        <v>46</v>
      </c>
    </row>
    <row r="38" customFormat="false" ht="15" hidden="false" customHeight="false" outlineLevel="0" collapsed="false">
      <c r="B38" s="18" t="s">
        <v>235</v>
      </c>
      <c r="D38" s="38" t="n">
        <f aca="false">Assumptions!$C$109/(Assumptions!$C$112-Assumptions!$C$111+1)</f>
        <v>0</v>
      </c>
      <c r="E38" s="38" t="n">
        <f aca="false">Assumptions!$C$109/(Assumptions!$C$112-Assumptions!$C$111+1)</f>
        <v>0</v>
      </c>
      <c r="F38" s="38" t="n">
        <f aca="false">Assumptions!$C$109/(Assumptions!$C$112-Assumptions!$C$111+1)</f>
        <v>0</v>
      </c>
      <c r="G38" s="38" t="n">
        <f aca="false">Assumptions!$C$109/(Assumptions!$C$112-Assumptions!$C$111+1)</f>
        <v>0</v>
      </c>
      <c r="H38" s="38" t="n">
        <f aca="false">Assumptions!$C$109/(Assumptions!$C$112-Assumptions!$C$111+1)</f>
        <v>0</v>
      </c>
      <c r="I38" s="38" t="n">
        <f aca="false">Assumptions!$C$109/(Assumptions!$C$112-Assumptions!$C$111+1)</f>
        <v>0</v>
      </c>
      <c r="J38" s="38" t="n">
        <f aca="false">Assumptions!$C$109/(Assumptions!$C$112-Assumptions!$C$111+1)</f>
        <v>0</v>
      </c>
      <c r="K38" s="38" t="n">
        <f aca="false">Assumptions!$C$109/(Assumptions!$C$112-Assumptions!$C$111+1)</f>
        <v>0</v>
      </c>
      <c r="L38" s="38" t="n">
        <f aca="false">Assumptions!$C$109/(Assumptions!$C$112-Assumptions!$C$111+1)</f>
        <v>0</v>
      </c>
      <c r="M38" s="38" t="n">
        <f aca="false">Assumptions!$C$109/(Assumptions!$C$112-Assumptions!$C$111+1)</f>
        <v>0</v>
      </c>
    </row>
    <row r="39" customFormat="false" ht="15" hidden="false" customHeight="false" outlineLevel="0" collapsed="false">
      <c r="B39" s="18" t="s">
        <v>236</v>
      </c>
      <c r="D39" s="38" t="n">
        <f aca="false">MAX(0,Assumptions!$C$109-D38*MAX(0,MIN((2026)-Assumptions!$C$111,Assumptions!$C$112-Assumptions!$C$111+1)))</f>
        <v>0</v>
      </c>
      <c r="E39" s="38" t="n">
        <f aca="false">MAX(0,Assumptions!$C$109-E38*MAX(0,MIN((2027)-Assumptions!$C$111,Assumptions!$C$112-Assumptions!$C$111+1)))</f>
        <v>0</v>
      </c>
      <c r="F39" s="38" t="n">
        <f aca="false">MAX(0,Assumptions!$C$109-F38*MAX(0,MIN((2028)-Assumptions!$C$111,Assumptions!$C$112-Assumptions!$C$111+1)))</f>
        <v>0</v>
      </c>
      <c r="G39" s="38" t="n">
        <f aca="false">MAX(0,Assumptions!$C$109-G38*MAX(0,MIN((2029)-Assumptions!$C$111,Assumptions!$C$112-Assumptions!$C$111+1)))</f>
        <v>0</v>
      </c>
      <c r="H39" s="38" t="n">
        <f aca="false">MAX(0,Assumptions!$C$109-H38*MAX(0,MIN((2030)-Assumptions!$C$111,Assumptions!$C$112-Assumptions!$C$111+1)))</f>
        <v>0</v>
      </c>
      <c r="I39" s="38" t="n">
        <f aca="false">MAX(0,Assumptions!$C$109-I38*MAX(0,MIN((2031)-Assumptions!$C$111,Assumptions!$C$112-Assumptions!$C$111+1)))</f>
        <v>0</v>
      </c>
      <c r="J39" s="38" t="n">
        <f aca="false">MAX(0,Assumptions!$C$109-J38*MAX(0,MIN((2032)-Assumptions!$C$111,Assumptions!$C$112-Assumptions!$C$111+1)))</f>
        <v>0</v>
      </c>
      <c r="K39" s="38" t="n">
        <f aca="false">MAX(0,Assumptions!$C$109-K38*MAX(0,MIN((2033)-Assumptions!$C$111,Assumptions!$C$112-Assumptions!$C$111+1)))</f>
        <v>0</v>
      </c>
      <c r="L39" s="38" t="n">
        <f aca="false">MAX(0,Assumptions!$C$109-L38*MAX(0,MIN((2034)-Assumptions!$C$111,Assumptions!$C$112-Assumptions!$C$111+1)))</f>
        <v>0</v>
      </c>
      <c r="M39" s="38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8" t="s">
        <v>237</v>
      </c>
      <c r="D40" s="38" t="n">
        <f aca="false">-IF(AND((2026)&gt;=Assumptions!$C$111,(2026)&lt;=Assumptions!$C$112),MIN(D39,D38),0)</f>
        <v>-0</v>
      </c>
      <c r="E40" s="38" t="n">
        <f aca="false">-IF(AND((2027)&gt;=Assumptions!$C$111,(2027)&lt;=Assumptions!$C$112),MIN(E39,E38),0)</f>
        <v>-0</v>
      </c>
      <c r="F40" s="38" t="n">
        <f aca="false">-IF(AND((2028)&gt;=Assumptions!$C$111,(2028)&lt;=Assumptions!$C$112),MIN(F39,F38),0)</f>
        <v>-0</v>
      </c>
      <c r="G40" s="38" t="n">
        <f aca="false">-IF(AND((2029)&gt;=Assumptions!$C$111,(2029)&lt;=Assumptions!$C$112),MIN(G39,G38),0)</f>
        <v>-0</v>
      </c>
      <c r="H40" s="38" t="n">
        <f aca="false">-IF(AND((2030)&gt;=Assumptions!$C$111,(2030)&lt;=Assumptions!$C$112),MIN(H39,H38),0)</f>
        <v>-0</v>
      </c>
      <c r="I40" s="38" t="n">
        <f aca="false">-IF(AND((2031)&gt;=Assumptions!$C$111,(2031)&lt;=Assumptions!$C$112),MIN(I39,I38),0)</f>
        <v>-0</v>
      </c>
      <c r="J40" s="38" t="n">
        <f aca="false">-IF(AND((2032)&gt;=Assumptions!$C$111,(2032)&lt;=Assumptions!$C$112),MIN(J39,J38),0)</f>
        <v>-0</v>
      </c>
      <c r="K40" s="38" t="n">
        <f aca="false">-IF(AND((2033)&gt;=Assumptions!$C$111,(2033)&lt;=Assumptions!$C$112),MIN(K39,K38),0)</f>
        <v>-0</v>
      </c>
      <c r="L40" s="38" t="n">
        <f aca="false">-IF(AND((2034)&gt;=Assumptions!$C$111,(2034)&lt;=Assumptions!$C$112),MIN(L39,L38),0)</f>
        <v>-0</v>
      </c>
      <c r="M40" s="38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1" t="s">
        <v>238</v>
      </c>
      <c r="D41" s="38" t="n">
        <f aca="false">-D39*Assumptions!$C$110</f>
        <v>-0</v>
      </c>
      <c r="E41" s="38" t="n">
        <f aca="false">-E39*Assumptions!$C$110</f>
        <v>-0</v>
      </c>
      <c r="F41" s="38" t="n">
        <f aca="false">-F39*Assumptions!$C$110</f>
        <v>-0</v>
      </c>
      <c r="G41" s="38" t="n">
        <f aca="false">-G39*Assumptions!$C$110</f>
        <v>-0</v>
      </c>
      <c r="H41" s="38" t="n">
        <f aca="false">-H39*Assumptions!$C$110</f>
        <v>-0</v>
      </c>
      <c r="I41" s="38" t="n">
        <f aca="false">-I39*Assumptions!$C$110</f>
        <v>-0</v>
      </c>
      <c r="J41" s="38" t="n">
        <f aca="false">-J39*Assumptions!$C$110</f>
        <v>-0</v>
      </c>
      <c r="K41" s="38" t="n">
        <f aca="false">-K39*Assumptions!$C$110</f>
        <v>-0</v>
      </c>
      <c r="L41" s="38" t="n">
        <f aca="false">-L39*Assumptions!$C$110</f>
        <v>-0</v>
      </c>
      <c r="M41" s="38" t="n">
        <f aca="false">-M39*Assumptions!$C$110</f>
        <v>-0</v>
      </c>
    </row>
    <row r="42" customFormat="false" ht="15" hidden="false" customHeight="false" outlineLevel="0" collapsed="false">
      <c r="B42" s="21" t="s">
        <v>239</v>
      </c>
      <c r="D42" s="38" t="n">
        <f aca="false">-Assumptions!$C$114*Assumptions!$C$101</f>
        <v>-0</v>
      </c>
      <c r="E42" s="38" t="n">
        <f aca="false">-Assumptions!$C$114*Assumptions!$C$101</f>
        <v>-0</v>
      </c>
      <c r="F42" s="38" t="n">
        <f aca="false">-Assumptions!$C$114*Assumptions!$C$101</f>
        <v>-0</v>
      </c>
      <c r="G42" s="38" t="n">
        <f aca="false">-Assumptions!$C$114*Assumptions!$C$101</f>
        <v>-0</v>
      </c>
      <c r="H42" s="38" t="n">
        <f aca="false">-Assumptions!$C$114*Assumptions!$C$101</f>
        <v>-0</v>
      </c>
      <c r="I42" s="38" t="n">
        <f aca="false">-Assumptions!$C$114*Assumptions!$C$101</f>
        <v>-0</v>
      </c>
      <c r="J42" s="38" t="n">
        <f aca="false">-Assumptions!$C$114*Assumptions!$C$101</f>
        <v>-0</v>
      </c>
      <c r="K42" s="38" t="n">
        <f aca="false">-Assumptions!$C$114*Assumptions!$C$101</f>
        <v>-0</v>
      </c>
      <c r="L42" s="38" t="n">
        <f aca="false">-Assumptions!$C$114*Assumptions!$C$101</f>
        <v>-0</v>
      </c>
      <c r="M42" s="38" t="n">
        <f aca="false">-Assumptions!$C$114*Assumptions!$C$101</f>
        <v>-0</v>
      </c>
    </row>
    <row r="43" customFormat="false" ht="15" hidden="false" customHeight="false" outlineLevel="0" collapsed="false">
      <c r="B43" s="55" t="s">
        <v>240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-163.64384712</v>
      </c>
      <c r="G43" s="56" t="n">
        <f aca="false">G27+G36+G37+G41+G40+G42</f>
        <v>427.94207864</v>
      </c>
      <c r="H43" s="56" t="n">
        <f aca="false">H27+H36+H37+H41+H40+H42</f>
        <v>443.76989296</v>
      </c>
      <c r="I43" s="56" t="n">
        <f aca="false">I27+I36+I37+I41+I40+I42</f>
        <v>349.91428576</v>
      </c>
      <c r="J43" s="56" t="n">
        <f aca="false">J27+J36+J37+J41+J40+J42</f>
        <v>181.22980936</v>
      </c>
      <c r="K43" s="56" t="n">
        <f aca="false">K27+K36+K37+K41+K40+K42</f>
        <v>-21.9185924</v>
      </c>
      <c r="L43" s="56" t="n">
        <f aca="false">L27+L36+L37+L41+L40+L42</f>
        <v>-23.4482741600006</v>
      </c>
      <c r="M43" s="56" t="n">
        <f aca="false">M27+M36+M37+M41+M40+M42</f>
        <v>-24.9779559199998</v>
      </c>
    </row>
    <row r="44" customFormat="false" ht="15" hidden="false" customHeight="false" outlineLevel="0" collapsed="false">
      <c r="B44" s="21" t="s">
        <v>241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448.74648</v>
      </c>
      <c r="G44" s="66" t="n">
        <f aca="false">SKOT!G19-SKOT!G15+SKOT!G32</f>
        <v>703.661904</v>
      </c>
      <c r="H44" s="66" t="n">
        <f aca="false">SKOT!H19-SKOT!H15+SKOT!H32</f>
        <v>706.536432</v>
      </c>
      <c r="I44" s="66" t="n">
        <f aca="false">SKOT!I19-SKOT!I15+SKOT!I32</f>
        <v>591.432192</v>
      </c>
      <c r="J44" s="66" t="n">
        <f aca="false">SKOT!J19-SKOT!J15+SKOT!J32</f>
        <v>398.856312</v>
      </c>
      <c r="K44" s="66" t="n">
        <f aca="false">SKOT!K19-SKOT!K15+SKOT!K32</f>
        <v>169.31592</v>
      </c>
      <c r="L44" s="66" t="n">
        <f aca="false">SKOT!L19-SKOT!L15+SKOT!L32</f>
        <v>166.980527999999</v>
      </c>
      <c r="M44" s="66" t="n">
        <f aca="false">SKOT!M19-SKOT!M15+SKOT!M32</f>
        <v>164.645136</v>
      </c>
    </row>
    <row r="45" customFormat="false" ht="15" hidden="false" customHeight="false" outlineLevel="0" collapsed="false">
      <c r="B45" s="18" t="s">
        <v>242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243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2.2437324</v>
      </c>
      <c r="G46" s="67" t="n">
        <f aca="false">IF(G45=0,0,G44/G45)</f>
        <v>3.51830952</v>
      </c>
      <c r="H46" s="67" t="n">
        <f aca="false">IF(H45=0,0,H44/H45)</f>
        <v>3.53268216</v>
      </c>
      <c r="I46" s="67" t="n">
        <f aca="false">IF(I45=0,0,I44/I45)</f>
        <v>2.95716096</v>
      </c>
      <c r="J46" s="67" t="n">
        <f aca="false">IF(J45=0,0,J44/J45)</f>
        <v>1.99428156</v>
      </c>
      <c r="K46" s="67" t="n">
        <f aca="false">IF(K45=0,0,K44/K45)</f>
        <v>0.8465796</v>
      </c>
      <c r="L46" s="67" t="n">
        <f aca="false">IF(L45=0,0,L44/L45)</f>
        <v>0.834902639999996</v>
      </c>
      <c r="M46" s="67" t="n">
        <f aca="false">IF(M45=0,0,M44/M45)</f>
        <v>0.823225680000001</v>
      </c>
    </row>
    <row r="47" customFormat="false" ht="15" hidden="false" customHeight="false" outlineLevel="0" collapsed="false">
      <c r="B47" s="68" t="s">
        <v>244</v>
      </c>
      <c r="D47" s="59" t="n">
        <f aca="false">D35+D43</f>
        <v>-365.22896</v>
      </c>
      <c r="E47" s="59" t="n">
        <f aca="false">E35+E43</f>
        <v>-536.922284</v>
      </c>
      <c r="F47" s="59" t="n">
        <f aca="false">F35+F43</f>
        <v>239.50019688</v>
      </c>
      <c r="G47" s="59" t="n">
        <f aca="false">G35+G43</f>
        <v>1045.92932264</v>
      </c>
      <c r="H47" s="59" t="n">
        <f aca="false">H35+H43</f>
        <v>979.85305696</v>
      </c>
      <c r="I47" s="59" t="n">
        <f aca="false">I35+I43</f>
        <v>763.220773792</v>
      </c>
      <c r="J47" s="59" t="n">
        <f aca="false">J35+J43</f>
        <v>437.723608240001</v>
      </c>
      <c r="K47" s="59" t="n">
        <f aca="false">K35+K43</f>
        <v>65.7082516000001</v>
      </c>
      <c r="L47" s="59" t="n">
        <f aca="false">L35+L43</f>
        <v>65.0944098399994</v>
      </c>
      <c r="M47" s="59" t="n">
        <f aca="false">M35+M43</f>
        <v>64.4805680800003</v>
      </c>
    </row>
    <row r="48" customFormat="false" ht="15" hidden="false" customHeight="false" outlineLevel="0" collapsed="false">
      <c r="B48" s="21" t="s">
        <v>245</v>
      </c>
      <c r="D48" s="69" t="n">
        <f aca="false">1/(1+Assumptions!$C$92)^((1)-Assumptions!$C$95)</f>
        <v>0.940720868383597</v>
      </c>
      <c r="E48" s="69" t="n">
        <f aca="false">1/(1+Assumptions!$C$92)^((2)-Assumptions!$C$95)</f>
        <v>0.832496343702299</v>
      </c>
      <c r="F48" s="69" t="n">
        <f aca="false">1/(1+Assumptions!$C$92)^((3)-Assumptions!$C$95)</f>
        <v>0.736722428055132</v>
      </c>
      <c r="G48" s="69" t="n">
        <f aca="false">1/(1+Assumptions!$C$92)^((4)-Assumptions!$C$95)</f>
        <v>0.651966750491267</v>
      </c>
      <c r="H48" s="69" t="n">
        <f aca="false">1/(1+Assumptions!$C$92)^((5)-Assumptions!$C$95)</f>
        <v>0.576961726098466</v>
      </c>
      <c r="I48" s="69" t="n">
        <f aca="false">1/(1+Assumptions!$C$92)^((6)-Assumptions!$C$95)</f>
        <v>0.510585598317227</v>
      </c>
      <c r="J48" s="69" t="n">
        <f aca="false">1/(1+Assumptions!$C$92)^((7)-Assumptions!$C$95)</f>
        <v>0.451845662227634</v>
      </c>
      <c r="K48" s="69" t="n">
        <f aca="false">1/(1+Assumptions!$C$92)^((8)-Assumptions!$C$95)</f>
        <v>0.399863417900562</v>
      </c>
      <c r="L48" s="69" t="n">
        <f aca="false">1/(1+Assumptions!$C$92)^((9)-Assumptions!$C$95)</f>
        <v>0.353861431770408</v>
      </c>
      <c r="M48" s="69" t="n">
        <f aca="false">1/(1+Assumptions!$C$92)^((10)-Assumptions!$C$95)</f>
        <v>0.313151709531335</v>
      </c>
    </row>
    <row r="49" customFormat="false" ht="15" hidden="false" customHeight="false" outlineLevel="0" collapsed="false">
      <c r="B49" s="65" t="s">
        <v>246</v>
      </c>
      <c r="D49" s="39" t="n">
        <f aca="false">D47*D48</f>
        <v>-343.578504410038</v>
      </c>
      <c r="E49" s="39" t="n">
        <f aca="false">E47*E48</f>
        <v>-446.985838282287</v>
      </c>
      <c r="F49" s="39" t="n">
        <f aca="false">F47*F48</f>
        <v>176.445166565116</v>
      </c>
      <c r="G49" s="39" t="n">
        <f aca="false">G47*G48</f>
        <v>681.911141725133</v>
      </c>
      <c r="H49" s="39" t="n">
        <f aca="false">H47*H48</f>
        <v>565.337711066501</v>
      </c>
      <c r="I49" s="39" t="n">
        <f aca="false">I47*I48</f>
        <v>389.689535434725</v>
      </c>
      <c r="J49" s="39" t="n">
        <f aca="false">J47*J48</f>
        <v>197.783513637873</v>
      </c>
      <c r="K49" s="39" t="n">
        <f aca="false">K47*K48</f>
        <v>26.2743260690461</v>
      </c>
      <c r="L49" s="39" t="n">
        <f aca="false">L47*L48</f>
        <v>23.034401066232</v>
      </c>
      <c r="M49" s="39" t="n">
        <f aca="false">M47*M48</f>
        <v>20.1922001258037</v>
      </c>
    </row>
    <row r="50" customFormat="false" ht="15" hidden="false" customHeight="false" outlineLevel="0" collapsed="false">
      <c r="B50" s="8" t="s">
        <v>247</v>
      </c>
    </row>
    <row r="52" customFormat="false" ht="15" hidden="false" customHeight="false" outlineLevel="0" collapsed="false">
      <c r="B52" s="4" t="s">
        <v>248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172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249</v>
      </c>
      <c r="D54" s="70" t="n">
        <f aca="false">(1)-Assumptions!$C$95</f>
        <v>0.5</v>
      </c>
      <c r="E54" s="70" t="n">
        <f aca="false">(2)-Assumptions!$C$95</f>
        <v>1.5</v>
      </c>
      <c r="F54" s="70" t="n">
        <f aca="false">(3)-Assumptions!$C$95</f>
        <v>2.5</v>
      </c>
      <c r="G54" s="70" t="n">
        <f aca="false">(4)-Assumptions!$C$95</f>
        <v>3.5</v>
      </c>
      <c r="H54" s="70" t="n">
        <f aca="false">(5)-Assumptions!$C$95</f>
        <v>4.5</v>
      </c>
      <c r="I54" s="70" t="n">
        <f aca="false">(6)-Assumptions!$C$95</f>
        <v>5.5</v>
      </c>
      <c r="J54" s="70" t="n">
        <f aca="false">(7)-Assumptions!$C$95</f>
        <v>6.5</v>
      </c>
      <c r="K54" s="70" t="n">
        <f aca="false">(8)-Assumptions!$C$95</f>
        <v>7.5</v>
      </c>
      <c r="L54" s="70" t="n">
        <f aca="false">(9)-Assumptions!$C$95</f>
        <v>8.5</v>
      </c>
      <c r="M54" s="70" t="n">
        <f aca="false">(10)-Assumptions!$C$95</f>
        <v>9.5</v>
      </c>
    </row>
    <row r="55" customFormat="false" ht="15" hidden="false" customHeight="false" outlineLevel="0" collapsed="false">
      <c r="B55" s="21" t="s">
        <v>250</v>
      </c>
      <c r="D55" s="69" t="n">
        <f aca="false">1/(1+Assumptions!$C$91)^D54</f>
        <v>0.951302988308988</v>
      </c>
      <c r="E55" s="69" t="n">
        <f aca="false">1/(1+Assumptions!$C$91)^E54</f>
        <v>0.860907681727591</v>
      </c>
      <c r="F55" s="69" t="n">
        <f aca="false">1/(1+Assumptions!$C$91)^F54</f>
        <v>0.77910197441411</v>
      </c>
      <c r="G55" s="69" t="n">
        <f aca="false">1/(1+Assumptions!$C$91)^G54</f>
        <v>0.705069660103267</v>
      </c>
      <c r="H55" s="69" t="n">
        <f aca="false">1/(1+Assumptions!$C$91)^H54</f>
        <v>0.638072090591192</v>
      </c>
      <c r="I55" s="69" t="n">
        <f aca="false">1/(1+Assumptions!$C$91)^I54</f>
        <v>0.577440805964879</v>
      </c>
      <c r="J55" s="69" t="n">
        <f aca="false">1/(1+Assumptions!$C$91)^J54</f>
        <v>0.522570865126588</v>
      </c>
      <c r="K55" s="69" t="n">
        <f aca="false">1/(1+Assumptions!$C$91)^K54</f>
        <v>0.47291481006931</v>
      </c>
      <c r="L55" s="69" t="n">
        <f aca="false">1/(1+Assumptions!$C$91)^L54</f>
        <v>0.427977203682634</v>
      </c>
      <c r="M55" s="69" t="n">
        <f aca="false">1/(1+Assumptions!$C$91)^M54</f>
        <v>0.387309686590619</v>
      </c>
    </row>
    <row r="56" customFormat="false" ht="15" hidden="false" customHeight="false" outlineLevel="0" collapsed="false">
      <c r="B56" s="65" t="s">
        <v>251</v>
      </c>
      <c r="D56" s="39" t="n">
        <f aca="false">D28*D55</f>
        <v>-160.376708056135</v>
      </c>
      <c r="E56" s="39" t="n">
        <f aca="false">E28*E55</f>
        <v>-292.949393891437</v>
      </c>
      <c r="F56" s="39" t="n">
        <f aca="false">F28*F55</f>
        <v>339.7997141757</v>
      </c>
      <c r="G56" s="39" t="n">
        <f aca="false">G28*G55</f>
        <v>876.099763149647</v>
      </c>
      <c r="H56" s="39" t="n">
        <f aca="false">H28*H55</f>
        <v>750.689043407925</v>
      </c>
      <c r="I56" s="39" t="n">
        <f aca="false">I28*I55</f>
        <v>554.264280178621</v>
      </c>
      <c r="J56" s="39" t="n">
        <f aca="false">J28*J55</f>
        <v>331.50129824705</v>
      </c>
      <c r="K56" s="39" t="n">
        <f aca="false">K28*K55</f>
        <v>124.069603155936</v>
      </c>
      <c r="L56" s="39" t="n">
        <f aca="false">L28*L55</f>
        <v>112.017473571577</v>
      </c>
      <c r="M56" s="39" t="n">
        <f aca="false">M28*M55</f>
        <v>101.135532390614</v>
      </c>
    </row>
    <row r="58" customFormat="false" ht="15" hidden="false" customHeight="false" outlineLevel="0" collapsed="false">
      <c r="B58" s="71" t="s">
        <v>252</v>
      </c>
      <c r="C58" s="5"/>
      <c r="D58" s="5"/>
      <c r="E58" s="5"/>
    </row>
    <row r="59" customFormat="false" ht="15" hidden="false" customHeight="false" outlineLevel="0" collapsed="false">
      <c r="B59" s="21" t="s">
        <v>253</v>
      </c>
      <c r="D59" s="38" t="n">
        <f aca="false">SUM(D56:M56)</f>
        <v>2736.2506063295</v>
      </c>
    </row>
    <row r="60" customFormat="false" ht="15" hidden="false" customHeight="false" outlineLevel="0" collapsed="false">
      <c r="B60" s="21" t="s">
        <v>254</v>
      </c>
      <c r="D60" s="38" t="n">
        <f aca="false">M28*(1+Assumptions!$C$93)/(Assumptions!$C$91-Assumptions!$C$93)</f>
        <v>3133.47801696</v>
      </c>
    </row>
    <row r="61" customFormat="false" ht="15" hidden="false" customHeight="false" outlineLevel="0" collapsed="false">
      <c r="B61" s="21" t="s">
        <v>255</v>
      </c>
      <c r="D61" s="38" t="n">
        <f aca="false">D60*M55</f>
        <v>1213.62638868737</v>
      </c>
    </row>
    <row r="62" customFormat="false" ht="15" hidden="false" customHeight="false" outlineLevel="0" collapsed="false">
      <c r="B62" s="72" t="s">
        <v>256</v>
      </c>
      <c r="D62" s="73" t="n">
        <f aca="false">D59+D61</f>
        <v>3949.87699501687</v>
      </c>
    </row>
    <row r="63" customFormat="false" ht="15" hidden="false" customHeight="false" outlineLevel="0" collapsed="false">
      <c r="B63" s="21" t="s">
        <v>257</v>
      </c>
      <c r="D63" s="38" t="n">
        <f aca="false">-Assumptions!$C$94</f>
        <v>-6400</v>
      </c>
    </row>
    <row r="64" customFormat="false" ht="15" hidden="false" customHeight="false" outlineLevel="0" collapsed="false">
      <c r="B64" s="71" t="s">
        <v>258</v>
      </c>
      <c r="D64" s="74" t="n">
        <f aca="false">D62-Assumptions!$C$94</f>
        <v>-2450.12300498313</v>
      </c>
    </row>
    <row r="66" customFormat="false" ht="15" hidden="false" customHeight="false" outlineLevel="0" collapsed="false">
      <c r="B66" s="2" t="s">
        <v>259</v>
      </c>
      <c r="D66" s="75" t="n">
        <f aca="false">D61/D62</f>
        <v>0.307256755139077</v>
      </c>
    </row>
    <row r="68" customFormat="false" ht="15" hidden="false" customHeight="false" outlineLevel="0" collapsed="false">
      <c r="B68" s="71" t="s">
        <v>260</v>
      </c>
      <c r="C68" s="5"/>
      <c r="D68" s="5"/>
      <c r="E68" s="5"/>
    </row>
    <row r="69" customFormat="false" ht="15" hidden="false" customHeight="false" outlineLevel="0" collapsed="false">
      <c r="B69" s="21" t="s">
        <v>261</v>
      </c>
      <c r="D69" s="38" t="n">
        <f aca="false">SUM(D49:M49)</f>
        <v>1290.1036529981</v>
      </c>
    </row>
    <row r="70" customFormat="false" ht="15" hidden="false" customHeight="false" outlineLevel="0" collapsed="false">
      <c r="B70" s="21" t="s">
        <v>262</v>
      </c>
      <c r="D70" s="38" t="n">
        <f aca="false">M47*(1+Assumptions!$C$93)/(Assumptions!$C$92-Assumptions!$C$93)</f>
        <v>597.910722196367</v>
      </c>
    </row>
    <row r="71" customFormat="false" ht="15" hidden="false" customHeight="false" outlineLevel="0" collapsed="false">
      <c r="B71" s="21" t="s">
        <v>263</v>
      </c>
      <c r="D71" s="38" t="n">
        <f aca="false">D70*1/(1+Assumptions!$C$92)^((10)-Assumptions!$C$95)</f>
        <v>187.236764802907</v>
      </c>
    </row>
    <row r="72" customFormat="false" ht="15" hidden="false" customHeight="false" outlineLevel="0" collapsed="false">
      <c r="B72" s="72" t="s">
        <v>264</v>
      </c>
      <c r="D72" s="73" t="n">
        <f aca="false">D69+D71</f>
        <v>1477.34041780101</v>
      </c>
    </row>
    <row r="73" customFormat="false" ht="15" hidden="false" customHeight="false" outlineLevel="0" collapsed="false">
      <c r="B73" s="2" t="s">
        <v>265</v>
      </c>
      <c r="D73" s="76" t="n">
        <f aca="false">D64</f>
        <v>-2450.12300498313</v>
      </c>
    </row>
    <row r="74" customFormat="false" ht="15" hidden="false" customHeight="false" outlineLevel="0" collapsed="false">
      <c r="B74" s="51" t="s">
        <v>266</v>
      </c>
    </row>
    <row r="76" customFormat="false" ht="15" hidden="false" customHeight="false" outlineLevel="0" collapsed="false">
      <c r="B76" s="43" t="s">
        <v>267</v>
      </c>
      <c r="C76" s="44"/>
      <c r="D76" s="44"/>
      <c r="E76" s="44"/>
    </row>
    <row r="77" customFormat="false" ht="15" hidden="false" customHeight="false" outlineLevel="0" collapsed="false">
      <c r="B77" s="21" t="s">
        <v>268</v>
      </c>
      <c r="D77" s="66" t="n">
        <f aca="false">Assumptions!$C$119</f>
        <v>2000</v>
      </c>
    </row>
    <row r="78" customFormat="false" ht="15" hidden="false" customHeight="false" outlineLevel="0" collapsed="false">
      <c r="B78" s="21" t="s">
        <v>269</v>
      </c>
      <c r="D78" s="66" t="n">
        <f aca="false">Assumptions!$C$120</f>
        <v>3000</v>
      </c>
    </row>
    <row r="79" customFormat="false" ht="15" hidden="false" customHeight="false" outlineLevel="0" collapsed="false">
      <c r="B79" s="77" t="s">
        <v>270</v>
      </c>
      <c r="D79" s="78" t="n">
        <f aca="false">Assumptions!$C$119+Assumptions!$C$120</f>
        <v>5000</v>
      </c>
    </row>
    <row r="80" customFormat="false" ht="15" hidden="false" customHeight="false" outlineLevel="0" collapsed="false">
      <c r="B80" s="65" t="s">
        <v>271</v>
      </c>
      <c r="D80" s="79" t="n">
        <f aca="false">D64</f>
        <v>-2450.12300498313</v>
      </c>
    </row>
    <row r="81" customFormat="false" ht="15" hidden="false" customHeight="false" outlineLevel="0" collapsed="false">
      <c r="B81" s="53" t="s">
        <v>272</v>
      </c>
      <c r="D81" s="76" t="n">
        <f aca="false">(Assumptions!$C$119+Assumptions!$C$120)-D64</f>
        <v>7450.12300498313</v>
      </c>
    </row>
    <row r="82" customFormat="false" ht="15" hidden="false" customHeight="false" outlineLevel="0" collapsed="false">
      <c r="B82" s="51" t="s">
        <v>273</v>
      </c>
    </row>
    <row r="83" customFormat="false" ht="15" hidden="false" customHeight="false" outlineLevel="0" collapsed="false">
      <c r="B83" s="8" t="s">
        <v>274</v>
      </c>
    </row>
    <row r="85" customFormat="false" ht="15" hidden="false" customHeight="false" outlineLevel="0" collapsed="false">
      <c r="B85" s="4" t="s">
        <v>275</v>
      </c>
      <c r="C85" s="5"/>
      <c r="D85" s="5"/>
      <c r="E85" s="5"/>
    </row>
    <row r="86" customFormat="false" ht="15" hidden="false" customHeight="false" outlineLevel="0" collapsed="false">
      <c r="B86" s="21" t="s">
        <v>276</v>
      </c>
      <c r="D86" s="66" t="n">
        <f aca="false">G21</f>
        <v>373.402856</v>
      </c>
    </row>
    <row r="87" customFormat="false" ht="15" hidden="false" customHeight="false" outlineLevel="0" collapsed="false">
      <c r="B87" s="21" t="s">
        <v>277</v>
      </c>
      <c r="D87" s="66" t="n">
        <f aca="false">AVERAGE(H21:J21)</f>
        <v>441.842077333334</v>
      </c>
    </row>
    <row r="88" customFormat="false" ht="15" hidden="false" customHeight="false" outlineLevel="0" collapsed="false">
      <c r="B88" s="80" t="s">
        <v>278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279</v>
      </c>
    </row>
    <row r="90" customFormat="false" ht="15" hidden="false" customHeight="false" outlineLevel="0" collapsed="false">
      <c r="B90" s="82" t="s">
        <v>280</v>
      </c>
      <c r="D90" s="79" t="n">
        <f aca="false">$D$86*D88</f>
        <v>2987.222848</v>
      </c>
      <c r="E90" s="79" t="n">
        <f aca="false">$D$86*E88</f>
        <v>4107.431416</v>
      </c>
      <c r="F90" s="79" t="n">
        <f aca="false">$D$86*F88</f>
        <v>5227.639984</v>
      </c>
    </row>
    <row r="91" customFormat="false" ht="15" hidden="false" customHeight="false" outlineLevel="0" collapsed="false">
      <c r="B91" s="82" t="s">
        <v>281</v>
      </c>
      <c r="D91" s="79" t="n">
        <f aca="false">$D$87*D88</f>
        <v>3534.73661866667</v>
      </c>
      <c r="E91" s="79" t="n">
        <f aca="false">$D$87*E88</f>
        <v>4860.26285066667</v>
      </c>
      <c r="F91" s="79" t="n">
        <f aca="false">$D$87*F88</f>
        <v>6185.78908266667</v>
      </c>
    </row>
    <row r="92" customFormat="false" ht="15" hidden="false" customHeight="false" outlineLevel="0" collapsed="false">
      <c r="B92" s="2" t="s">
        <v>282</v>
      </c>
      <c r="D92" s="76" t="n">
        <f aca="false">D62</f>
        <v>3949.87699501687</v>
      </c>
    </row>
    <row r="93" customFormat="false" ht="15" hidden="false" customHeight="false" outlineLevel="0" collapsed="false">
      <c r="B93" s="51" t="s">
        <v>283</v>
      </c>
    </row>
    <row r="94" customFormat="false" ht="15" hidden="false" customHeight="false" outlineLevel="0" collapsed="false">
      <c r="B94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2026-07-01T03:10:57Z</dcterms:created>
  <dc:creator>openpyxl</dc:creator>
  <dc:description/>
  <dc:language>en-US</dc:language>
  <cp:lastModifiedBy/>
  <dcterms:modified xsi:type="dcterms:W3CDTF">2026-07-01T03:11:00Z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