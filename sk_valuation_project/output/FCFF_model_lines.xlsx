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KBA" sheetId="2" state="visible" r:id="rId2"/>
    <sheet name="SKOT" sheetId="3" state="visible" r:id="rId3"/>
    <sheet name="Consolid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$#,##0.00;($#,##0.00);&quot;-&quot;"/>
    <numFmt numFmtId="166" formatCode="$#,##0;($#,##0);&quot;-&quot;"/>
    <numFmt numFmtId="167" formatCode="#,##0.0;(#,##0.0);&quot;-&quot;"/>
    <numFmt numFmtId="168" formatCode="0.0"/>
    <numFmt numFmtId="169" formatCode="0.00&quot;x&quot;"/>
    <numFmt numFmtId="170" formatCode="0.000"/>
    <numFmt numFmtId="171" formatCode="0&quot;x&quot;"/>
  </numFmts>
  <fonts count="27">
    <font>
      <name val="Calibri"/>
      <family val="2"/>
      <color theme="1"/>
      <sz val="11"/>
      <scheme val="minor"/>
    </font>
    <font>
      <name val="Arial"/>
      <b val="1"/>
      <color rgb="001B1714"/>
      <sz val="15"/>
    </font>
    <font>
      <name val="Arial"/>
      <color rgb="008C8473"/>
      <sz val="9"/>
    </font>
    <font>
      <name val="Arial"/>
      <i val="1"/>
      <color rgb="008C8473"/>
      <sz val="8.5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00FF"/>
      <sz val="11"/>
    </font>
    <font>
      <name val="Arial"/>
      <i val="1"/>
      <color rgb="008C8473"/>
      <sz val="8"/>
    </font>
    <font>
      <name val="Arial"/>
      <color rgb="000000FF"/>
      <sz val="10"/>
    </font>
    <font>
      <name val="Arial"/>
      <b val="1"/>
      <i val="1"/>
      <color rgb="007A2230"/>
      <sz val="8.5"/>
    </font>
    <font>
      <name val="Arial"/>
      <b val="1"/>
      <color rgb="001B1714"/>
      <sz val="9"/>
    </font>
    <font>
      <name val="Arial"/>
      <b val="1"/>
      <color rgb="001B1714"/>
      <sz val="10"/>
    </font>
    <font>
      <name val="Arial"/>
      <color rgb="00000000"/>
      <sz val="10"/>
    </font>
    <font>
      <name val="Arial"/>
      <b val="1"/>
      <color rgb="007A2230"/>
      <sz val="10"/>
    </font>
    <font>
      <name val="Arial"/>
      <color rgb="002E6FA8"/>
      <sz val="10"/>
    </font>
    <font>
      <name val="Arial"/>
      <b val="1"/>
      <color rgb="002E6FA8"/>
      <sz val="10"/>
    </font>
    <font>
      <name val="Arial"/>
      <b val="1"/>
      <color rgb="001F3A63"/>
      <sz val="9"/>
    </font>
    <font>
      <name val="Arial"/>
      <b val="1"/>
      <color rgb="007A2230"/>
      <sz val="9"/>
    </font>
    <font>
      <name val="Arial"/>
      <color rgb="00A6552E"/>
      <sz val="10"/>
    </font>
    <font>
      <name val="Arial"/>
      <i val="1"/>
      <color rgb="00C1121F"/>
      <sz val="8"/>
    </font>
    <font>
      <name val="Arial"/>
      <b val="1"/>
      <color rgb="001B1714"/>
      <sz val="14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1B1714"/>
      <sz val="11"/>
    </font>
    <font>
      <name val="Arial"/>
      <b val="1"/>
      <color rgb="00000000"/>
      <sz val="11"/>
    </font>
    <font>
      <name val="Arial"/>
      <b val="1"/>
      <color rgb="00C1121F"/>
      <sz val="10"/>
    </font>
    <font>
      <name val="Arial"/>
      <b val="1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C1121F"/>
      </patternFill>
    </fill>
    <fill>
      <patternFill patternType="solid">
        <fgColor rgb="00FFF6CC"/>
      </patternFill>
    </fill>
    <fill>
      <patternFill patternType="solid">
        <fgColor rgb="007A2230"/>
      </patternFill>
    </fill>
    <fill>
      <patternFill patternType="solid">
        <fgColor rgb="001F3A63"/>
      </patternFill>
    </fill>
    <fill>
      <patternFill patternType="solid">
        <fgColor rgb="00EAF0F7"/>
      </patternFill>
    </fill>
    <fill>
      <patternFill patternType="solid">
        <fgColor rgb="00F6ECEE"/>
      </patternFill>
    </fill>
    <fill>
      <patternFill patternType="solid">
        <fgColor rgb="001B1714"/>
      </patternFill>
    </fill>
    <fill>
      <patternFill patternType="solid">
        <fgColor rgb="00EFE9DC"/>
      </patternFill>
    </fill>
  </fills>
  <borders count="3">
    <border>
      <left/>
      <right/>
      <top/>
      <bottom/>
      <diagonal/>
    </border>
    <border>
      <top style="thin">
        <color rgb="001B1714"/>
      </top>
      <bottom style="thin">
        <color rgb="001B1714"/>
      </bottom>
    </border>
    <border>
      <top style="thin">
        <color rgb="001B1714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3" borderId="0" applyAlignment="1" pivotButton="0" quotePrefix="0" xfId="0">
      <alignment horizontal="center"/>
    </xf>
    <xf numFmtId="0" fontId="7" fillId="0" borderId="0" pivotButton="0" quotePrefix="0" xfId="0"/>
    <xf numFmtId="1" fontId="6" fillId="3" borderId="0" applyAlignment="1" pivotButton="0" quotePrefix="0" xfId="0">
      <alignment horizontal="center"/>
    </xf>
    <xf numFmtId="165" fontId="8" fillId="0" borderId="0" applyAlignment="1" pivotButton="0" quotePrefix="0" xfId="0">
      <alignment horizontal="right"/>
    </xf>
    <xf numFmtId="0" fontId="4" fillId="4" borderId="0" pivotButton="0" quotePrefix="0" xfId="0"/>
    <xf numFmtId="0" fontId="0" fillId="4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/>
    </xf>
    <xf numFmtId="0" fontId="12" fillId="0" borderId="0" pivotButton="0" quotePrefix="0" xfId="0"/>
    <xf numFmtId="166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13" fillId="0" borderId="0" pivotButton="0" quotePrefix="0" xfId="0"/>
    <xf numFmtId="166" fontId="13" fillId="0" borderId="0" applyAlignment="1" pivotButton="0" quotePrefix="0" xfId="0">
      <alignment horizontal="right"/>
    </xf>
    <xf numFmtId="0" fontId="14" fillId="0" borderId="0" pivotButton="0" quotePrefix="0" xfId="0"/>
    <xf numFmtId="166" fontId="14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0" fontId="15" fillId="0" borderId="0" pivotButton="0" quotePrefix="0" xfId="0"/>
    <xf numFmtId="166" fontId="15" fillId="0" borderId="0" applyAlignment="1" pivotButton="0" quotePrefix="0" xfId="0">
      <alignment horizontal="right"/>
    </xf>
    <xf numFmtId="0" fontId="4" fillId="5" borderId="0" pivotButton="0" quotePrefix="0" xfId="0"/>
    <xf numFmtId="0" fontId="0" fillId="5" borderId="0" pivotButton="0" quotePrefix="0" xfId="0"/>
    <xf numFmtId="0" fontId="16" fillId="0" borderId="0" pivotButton="0" quotePrefix="0" xfId="0"/>
    <xf numFmtId="167" fontId="8" fillId="0" borderId="0" applyAlignment="1" pivotButton="0" quotePrefix="0" xfId="0">
      <alignment horizontal="right"/>
    </xf>
    <xf numFmtId="167" fontId="8" fillId="6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6" fontId="12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17" fillId="0" borderId="0" pivotButton="0" quotePrefix="0" xfId="0"/>
    <xf numFmtId="167" fontId="8" fillId="7" borderId="0" applyAlignment="1" pivotButton="0" quotePrefix="0" xfId="0">
      <alignment horizontal="right"/>
    </xf>
    <xf numFmtId="166" fontId="18" fillId="0" borderId="0" applyAlignment="1" pivotButton="0" quotePrefix="0" xfId="0">
      <alignment horizontal="right"/>
    </xf>
    <xf numFmtId="0" fontId="4" fillId="8" borderId="0" pivotButton="0" quotePrefix="0" xfId="0"/>
    <xf numFmtId="0" fontId="0" fillId="8" borderId="0" pivotButton="0" quotePrefix="0" xfId="0"/>
    <xf numFmtId="168" fontId="8" fillId="0" borderId="0" applyAlignment="1" pivotButton="0" quotePrefix="0" xfId="0">
      <alignment horizontal="right"/>
    </xf>
    <xf numFmtId="1" fontId="8" fillId="0" borderId="0" applyAlignment="1" pivotButton="0" quotePrefix="0" xfId="0">
      <alignment horizontal="right"/>
    </xf>
    <xf numFmtId="166" fontId="8" fillId="3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pivotButton="0" quotePrefix="0" xfId="0"/>
    <xf numFmtId="167" fontId="12" fillId="0" borderId="0" applyAlignment="1" pivotButton="0" quotePrefix="0" xfId="0">
      <alignment horizontal="right"/>
    </xf>
    <xf numFmtId="0" fontId="11" fillId="0" borderId="2" pivotButton="0" quotePrefix="0" xfId="0"/>
    <xf numFmtId="166" fontId="5" fillId="0" borderId="2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11" fillId="9" borderId="2" pivotButton="0" quotePrefix="0" xfId="0"/>
    <xf numFmtId="166" fontId="5" fillId="9" borderId="2" applyAlignment="1" pivotButton="0" quotePrefix="0" xfId="0">
      <alignment horizontal="right"/>
    </xf>
    <xf numFmtId="166" fontId="12" fillId="7" borderId="0" applyAlignment="1" pivotButton="0" quotePrefix="0" xfId="0">
      <alignment horizontal="right"/>
    </xf>
    <xf numFmtId="0" fontId="12" fillId="6" borderId="0" pivotButton="0" quotePrefix="0" xfId="0"/>
    <xf numFmtId="166" fontId="21" fillId="6" borderId="0" applyAlignment="1" pivotButton="0" quotePrefix="0" xfId="0">
      <alignment horizontal="right"/>
    </xf>
    <xf numFmtId="0" fontId="12" fillId="7" borderId="0" pivotButton="0" quotePrefix="0" xfId="0"/>
    <xf numFmtId="166" fontId="21" fillId="7" borderId="0" applyAlignment="1" pivotButton="0" quotePrefix="0" xfId="0">
      <alignment horizontal="right"/>
    </xf>
    <xf numFmtId="0" fontId="11" fillId="0" borderId="0" pivotButton="0" quotePrefix="0" xfId="0"/>
    <xf numFmtId="166" fontId="21" fillId="0" borderId="0" applyAlignment="1" pivotButton="0" quotePrefix="0" xfId="0">
      <alignment horizontal="right"/>
    </xf>
    <xf numFmtId="169" fontId="12" fillId="0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right"/>
    </xf>
    <xf numFmtId="0" fontId="22" fillId="2" borderId="0" pivotButton="0" quotePrefix="0" xfId="0"/>
    <xf numFmtId="0" fontId="23" fillId="9" borderId="1" pivotButton="0" quotePrefix="0" xfId="0"/>
    <xf numFmtId="166" fontId="24" fillId="9" borderId="1" applyAlignment="1" pivotButton="0" quotePrefix="0" xfId="0">
      <alignment horizontal="right"/>
    </xf>
    <xf numFmtId="166" fontId="22" fillId="2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11" fillId="9" borderId="1" pivotButton="0" quotePrefix="0" xfId="0"/>
    <xf numFmtId="166" fontId="5" fillId="9" borderId="1" applyAlignment="1" pivotButton="0" quotePrefix="0" xfId="0">
      <alignment horizontal="right"/>
    </xf>
    <xf numFmtId="166" fontId="25" fillId="0" borderId="0" applyAlignment="1" pivotButton="0" quotePrefix="0" xfId="0">
      <alignment horizontal="right"/>
    </xf>
    <xf numFmtId="0" fontId="10" fillId="0" borderId="2" pivotButton="0" quotePrefix="0" xfId="0"/>
    <xf numFmtId="171" fontId="26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plant &amp; Consolidated FCFF ($mm)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'Consolidated'!B6</f>
            </strRef>
          </tx>
          <spPr>
            <a:ln>
              <a:prstDash val="solid"/>
            </a:ln>
          </spPr>
          <cat>
            <numRef>
              <f>'Consolidated'!$D$5:$M$5</f>
            </numRef>
          </cat>
          <val>
            <numRef>
              <f>'Consolidated'!$C$6:$M$6</f>
            </numRef>
          </val>
        </ser>
        <ser>
          <idx val="1"/>
          <order val="1"/>
          <tx>
            <strRef>
              <f>'Consolidated'!B7</f>
            </strRef>
          </tx>
          <spPr>
            <a:ln>
              <a:prstDash val="solid"/>
            </a:ln>
          </spPr>
          <cat>
            <numRef>
              <f>'Consolidated'!$D$5:$M$5</f>
            </numRef>
          </cat>
          <val>
            <numRef>
              <f>'Consolidated'!$C$7:$M$7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'Consolidated'!B28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'Consolidated'!$D$5:$M$5</f>
            </numRef>
          </cat>
          <val>
            <numRef>
              <f>'Consolidated'!$C$28:$M$28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98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</cols>
  <sheetData>
    <row r="1">
      <c r="B1" s="1" t="inlineStr">
        <is>
          <t>US LFP/ESS CELL PLATFORM — LINE-LEVEL FINANCIAL PROJECTION</t>
        </is>
      </c>
    </row>
    <row r="2">
      <c r="B2" s="2" t="inlineStr">
        <is>
          <t>Project [ ● ]  ·  Revenue → FCFF  ·  라인 단위  ·  Strictly Private &amp; Confidential</t>
        </is>
      </c>
    </row>
    <row r="3">
      <c r="B3" s="3" t="inlineStr">
        <is>
          <t>Blue=input  Black=formula  ★=가정값   |   ASP = 중국산 셀 + 미국 관세(58.4%) 하한 기반 도출 · SKBA 4라인 · SKOT 3라인</t>
        </is>
      </c>
    </row>
    <row r="5">
      <c r="B5" s="4" t="inlineStr">
        <is>
          <t>GLOBAL TOGGLE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6" t="inlineStr">
        <is>
          <t>Effective production factor (명판 대비) ★</t>
        </is>
      </c>
      <c r="C6" s="7" t="n">
        <v>0.8</v>
      </c>
      <c r="D6" s="8" t="inlineStr">
        <is>
          <t>← 토글: 명판×이 값 = 실제 생산</t>
        </is>
      </c>
    </row>
    <row r="7">
      <c r="B7" s="6" t="inlineStr">
        <is>
          <t>ASP 방식 토글 ★  (1=관세하한 셀 / 2=DC블록 $155)</t>
        </is>
      </c>
      <c r="C7" s="9" t="n">
        <v>2</v>
      </c>
      <c r="D7" s="8" t="inlineStr">
        <is>
          <t>← 1: 셀 ASP(관세하한)  /  2: DC블록 시스템 ASP $155</t>
        </is>
      </c>
    </row>
    <row r="8">
      <c r="B8" s="6" t="inlineStr">
        <is>
          <t>AMPC 45X ($/kWh) — 셀+모듈(DC블록) · 법정 phase-out</t>
        </is>
      </c>
      <c r="C8" s="8" t="inlineStr">
        <is>
          <t>'30=75%·'31=50%…</t>
        </is>
      </c>
      <c r="D8" s="10" t="n">
        <v>0</v>
      </c>
      <c r="E8" s="10" t="n">
        <v>45</v>
      </c>
      <c r="F8" s="10" t="n">
        <v>45</v>
      </c>
      <c r="G8" s="10" t="n">
        <v>45</v>
      </c>
      <c r="H8" s="10" t="n">
        <v>33.75</v>
      </c>
      <c r="I8" s="10" t="n">
        <v>22.5</v>
      </c>
      <c r="J8" s="10" t="n">
        <v>11.25</v>
      </c>
      <c r="K8" s="10" t="n">
        <v>0</v>
      </c>
      <c r="L8" s="10" t="n">
        <v>0</v>
      </c>
      <c r="M8" s="10" t="n">
        <v>0</v>
      </c>
    </row>
    <row r="10">
      <c r="B10" s="11" t="inlineStr">
        <is>
          <t>ASP FLOOR — 중국산 LFP 셀 + 미국 관세 = 미국시장 ASP 하한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B11" s="13" t="inlineStr">
        <is>
          <t>논리: 중국산 셀가×(1+관세 스택)이 미국 ASP의 하한 — 미국산은 그 아래로 팔 이유 없음</t>
        </is>
      </c>
    </row>
    <row r="12">
      <c r="B12" s="14" t="inlineStr">
        <is>
          <t>$/kWh · %</t>
        </is>
      </c>
      <c r="C12" s="15" t="n"/>
      <c r="D12" s="16" t="inlineStr">
        <is>
          <t>2026</t>
        </is>
      </c>
      <c r="E12" s="16" t="inlineStr">
        <is>
          <t>2027</t>
        </is>
      </c>
      <c r="F12" s="16" t="inlineStr">
        <is>
          <t>2028</t>
        </is>
      </c>
      <c r="G12" s="16" t="inlineStr">
        <is>
          <t>2029</t>
        </is>
      </c>
      <c r="H12" s="16" t="inlineStr">
        <is>
          <t>2030</t>
        </is>
      </c>
      <c r="I12" s="16" t="inlineStr">
        <is>
          <t>2031</t>
        </is>
      </c>
      <c r="J12" s="16" t="inlineStr">
        <is>
          <t>2032</t>
        </is>
      </c>
      <c r="K12" s="16" t="inlineStr">
        <is>
          <t>2033</t>
        </is>
      </c>
      <c r="L12" s="16" t="inlineStr">
        <is>
          <t>2034</t>
        </is>
      </c>
      <c r="M12" s="16" t="inlineStr">
        <is>
          <t>2035</t>
        </is>
      </c>
    </row>
    <row r="13">
      <c r="B13" s="17" t="inlineStr">
        <is>
          <t>중국산 LFP 셀가 ($/kWh) ★</t>
        </is>
      </c>
      <c r="C13" s="8" t="inlineStr">
        <is>
          <t>'25 내수~$40·수출~$50대</t>
        </is>
      </c>
      <c r="D13" s="18" t="n">
        <v>52</v>
      </c>
      <c r="E13" s="18" t="n">
        <v>50</v>
      </c>
      <c r="F13" s="18" t="n">
        <v>48</v>
      </c>
      <c r="G13" s="18" t="n">
        <v>46</v>
      </c>
      <c r="H13" s="18" t="n">
        <v>45</v>
      </c>
      <c r="I13" s="18" t="n">
        <v>44</v>
      </c>
      <c r="J13" s="18" t="n">
        <v>43</v>
      </c>
      <c r="K13" s="18" t="n">
        <v>43</v>
      </c>
      <c r="L13" s="18" t="n">
        <v>42</v>
      </c>
      <c r="M13" s="18" t="n">
        <v>42</v>
      </c>
    </row>
    <row r="14">
      <c r="B14" s="17" t="inlineStr">
        <is>
          <t xml:space="preserve">  기본관세 MFN (%)</t>
        </is>
      </c>
      <c r="C14" s="8" t="inlineStr">
        <is>
          <t>전세계 리튬이온 공통</t>
        </is>
      </c>
      <c r="D14" s="19" t="n">
        <v>0.034</v>
      </c>
      <c r="E14" s="19" t="n">
        <v>0.034</v>
      </c>
      <c r="F14" s="19" t="n">
        <v>0.034</v>
      </c>
      <c r="G14" s="19" t="n">
        <v>0.034</v>
      </c>
      <c r="H14" s="19" t="n">
        <v>0.034</v>
      </c>
      <c r="I14" s="19" t="n">
        <v>0.034</v>
      </c>
      <c r="J14" s="19" t="n">
        <v>0.034</v>
      </c>
      <c r="K14" s="19" t="n">
        <v>0.034</v>
      </c>
      <c r="L14" s="19" t="n">
        <v>0.034</v>
      </c>
      <c r="M14" s="19" t="n">
        <v>0.034</v>
      </c>
    </row>
    <row r="15">
      <c r="B15" s="17" t="inlineStr">
        <is>
          <t xml:space="preserve">  상호관세 Reciprocal (%)</t>
        </is>
      </c>
      <c r="C15" s="8" t="inlineStr">
        <is>
          <t>Sec.122 등</t>
        </is>
      </c>
      <c r="D15" s="19" t="n">
        <v>0.1</v>
      </c>
      <c r="E15" s="19" t="n">
        <v>0.1</v>
      </c>
      <c r="F15" s="19" t="n">
        <v>0.1</v>
      </c>
      <c r="G15" s="19" t="n">
        <v>0.1</v>
      </c>
      <c r="H15" s="19" t="n">
        <v>0.1</v>
      </c>
      <c r="I15" s="19" t="n">
        <v>0.1</v>
      </c>
      <c r="J15" s="19" t="n">
        <v>0.1</v>
      </c>
      <c r="K15" s="19" t="n">
        <v>0.1</v>
      </c>
      <c r="L15" s="19" t="n">
        <v>0.1</v>
      </c>
      <c r="M15" s="19" t="n">
        <v>0.1</v>
      </c>
    </row>
    <row r="16">
      <c r="B16" s="17" t="inlineStr">
        <is>
          <t xml:space="preserve">  펜타닐 IEEPA (%)</t>
        </is>
      </c>
      <c r="D16" s="19" t="n">
        <v>0.2</v>
      </c>
      <c r="E16" s="19" t="n">
        <v>0.2</v>
      </c>
      <c r="F16" s="19" t="n">
        <v>0.2</v>
      </c>
      <c r="G16" s="19" t="n">
        <v>0.2</v>
      </c>
      <c r="H16" s="19" t="n">
        <v>0.2</v>
      </c>
      <c r="I16" s="19" t="n">
        <v>0.2</v>
      </c>
      <c r="J16" s="19" t="n">
        <v>0.2</v>
      </c>
      <c r="K16" s="19" t="n">
        <v>0.2</v>
      </c>
      <c r="L16" s="19" t="n">
        <v>0.2</v>
      </c>
      <c r="M16" s="19" t="n">
        <v>0.2</v>
      </c>
    </row>
    <row r="17">
      <c r="B17" s="17" t="inlineStr">
        <is>
          <t xml:space="preserve">  Section 301 (%)</t>
        </is>
      </c>
      <c r="C17" s="8" t="inlineStr">
        <is>
          <t>'26~ 25% (비EV 배터리)</t>
        </is>
      </c>
      <c r="D17" s="19" t="n">
        <v>0.25</v>
      </c>
      <c r="E17" s="19" t="n">
        <v>0.25</v>
      </c>
      <c r="F17" s="19" t="n">
        <v>0.25</v>
      </c>
      <c r="G17" s="19" t="n">
        <v>0.25</v>
      </c>
      <c r="H17" s="19" t="n">
        <v>0.25</v>
      </c>
      <c r="I17" s="19" t="n">
        <v>0.25</v>
      </c>
      <c r="J17" s="19" t="n">
        <v>0.25</v>
      </c>
      <c r="K17" s="19" t="n">
        <v>0.25</v>
      </c>
      <c r="L17" s="19" t="n">
        <v>0.25</v>
      </c>
      <c r="M17" s="19" t="n">
        <v>0.25</v>
      </c>
    </row>
    <row r="18">
      <c r="B18" s="6" t="inlineStr">
        <is>
          <t>관세 합계 (%)</t>
        </is>
      </c>
      <c r="C18" s="8" t="inlineStr">
        <is>
          <t>합산</t>
        </is>
      </c>
      <c r="D18" s="20">
        <f>D14+D15+D16+D17</f>
        <v/>
      </c>
      <c r="E18" s="20">
        <f>E14+E15+E16+E17</f>
        <v/>
      </c>
      <c r="F18" s="20">
        <f>F14+F15+F16+F17</f>
        <v/>
      </c>
      <c r="G18" s="20">
        <f>G14+G15+G16+G17</f>
        <v/>
      </c>
      <c r="H18" s="20">
        <f>H14+H15+H16+H17</f>
        <v/>
      </c>
      <c r="I18" s="20">
        <f>I14+I15+I16+I17</f>
        <v/>
      </c>
      <c r="J18" s="20">
        <f>J14+J15+J16+J17</f>
        <v/>
      </c>
      <c r="K18" s="20">
        <f>K14+K15+K16+K17</f>
        <v/>
      </c>
      <c r="L18" s="20">
        <f>L14+L15+L16+L17</f>
        <v/>
      </c>
      <c r="M18" s="20">
        <f>M14+M15+M16+M17</f>
        <v/>
      </c>
    </row>
    <row r="19">
      <c r="B19" s="21" t="inlineStr">
        <is>
          <t>관세적용 중국산 = ASP 하한 ($/kWh)</t>
        </is>
      </c>
      <c r="C19" s="8" t="inlineStr">
        <is>
          <t>중국셀가×(1+관세)</t>
        </is>
      </c>
      <c r="D19" s="22">
        <f>D13*(1+D18)</f>
        <v/>
      </c>
      <c r="E19" s="22">
        <f>E13*(1+E18)</f>
        <v/>
      </c>
      <c r="F19" s="22">
        <f>F13*(1+F18)</f>
        <v/>
      </c>
      <c r="G19" s="22">
        <f>G13*(1+G18)</f>
        <v/>
      </c>
      <c r="H19" s="22">
        <f>H13*(1+H18)</f>
        <v/>
      </c>
      <c r="I19" s="22">
        <f>I13*(1+I18)</f>
        <v/>
      </c>
      <c r="J19" s="22">
        <f>J13*(1+J18)</f>
        <v/>
      </c>
      <c r="K19" s="22">
        <f>K13*(1+K18)</f>
        <v/>
      </c>
      <c r="L19" s="22">
        <f>L13*(1+L18)</f>
        <v/>
      </c>
      <c r="M19" s="22">
        <f>M13*(1+M18)</f>
        <v/>
      </c>
    </row>
    <row r="20">
      <c r="B20" s="17" t="inlineStr">
        <is>
          <t>미국산 프리미엄 (하한 대비 %) ★</t>
        </is>
      </c>
      <c r="C20" s="8" t="inlineStr">
        <is>
          <t>통념상 +20% (FEOC·국산 프리미엄)</t>
        </is>
      </c>
      <c r="D20" s="19" t="n">
        <v>0.2</v>
      </c>
      <c r="E20" s="19" t="n">
        <v>0.2</v>
      </c>
      <c r="F20" s="19" t="n">
        <v>0.2</v>
      </c>
      <c r="G20" s="19" t="n">
        <v>0.2</v>
      </c>
      <c r="H20" s="19" t="n">
        <v>0.2</v>
      </c>
      <c r="I20" s="19" t="n">
        <v>0.2</v>
      </c>
      <c r="J20" s="19" t="n">
        <v>0.2</v>
      </c>
      <c r="K20" s="19" t="n">
        <v>0.2</v>
      </c>
      <c r="L20" s="19" t="n">
        <v>0.2</v>
      </c>
      <c r="M20" s="19" t="n">
        <v>0.2</v>
      </c>
    </row>
    <row r="21">
      <c r="B21" s="23" t="inlineStr">
        <is>
          <t>[방식1] 셀 ASP = 하한×(1+프리미엄)</t>
        </is>
      </c>
      <c r="C21" s="8" t="inlineStr">
        <is>
          <t>토글=1일 때</t>
        </is>
      </c>
      <c r="D21" s="24">
        <f>D19*(1+D20)</f>
        <v/>
      </c>
      <c r="E21" s="24">
        <f>E19*(1+E20)</f>
        <v/>
      </c>
      <c r="F21" s="24">
        <f>F19*(1+F20)</f>
        <v/>
      </c>
      <c r="G21" s="24">
        <f>G19*(1+G20)</f>
        <v/>
      </c>
      <c r="H21" s="24">
        <f>H19*(1+H20)</f>
        <v/>
      </c>
      <c r="I21" s="24">
        <f>I19*(1+I20)</f>
        <v/>
      </c>
      <c r="J21" s="24">
        <f>J19*(1+J20)</f>
        <v/>
      </c>
      <c r="K21" s="24">
        <f>K19*(1+K20)</f>
        <v/>
      </c>
      <c r="L21" s="24">
        <f>L19*(1+L20)</f>
        <v/>
      </c>
      <c r="M21" s="24">
        <f>M19*(1+M20)</f>
        <v/>
      </c>
    </row>
    <row r="22">
      <c r="B22" s="17" t="inlineStr">
        <is>
          <t>[방식2] DC블록 ASP ($/kWh) ★</t>
        </is>
      </c>
      <c r="C22" s="8" t="inlineStr">
        <is>
          <t>$155 — 셀+모듈+컨테이너 DC블록 통합</t>
        </is>
      </c>
      <c r="D22" s="18" t="n">
        <v>0</v>
      </c>
      <c r="E22" s="18" t="n">
        <v>155</v>
      </c>
      <c r="F22" s="18" t="n">
        <v>155</v>
      </c>
      <c r="G22" s="18" t="n">
        <v>153</v>
      </c>
      <c r="H22" s="18" t="n">
        <v>151</v>
      </c>
      <c r="I22" s="18" t="n">
        <v>149</v>
      </c>
      <c r="J22" s="18" t="n">
        <v>147</v>
      </c>
      <c r="K22" s="18" t="n">
        <v>145</v>
      </c>
      <c r="L22" s="18" t="n">
        <v>143</v>
      </c>
      <c r="M22" s="18" t="n">
        <v>141</v>
      </c>
    </row>
    <row r="23">
      <c r="B23" s="17" t="inlineStr">
        <is>
          <t>[방식2] 시스템 마진 프리미엄 (%p) ★</t>
        </is>
      </c>
      <c r="C23" s="8" t="inlineStr">
        <is>
          <t>DC블록 GM은 동별 gross margin에 직접 반영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</row>
    <row r="24">
      <c r="B24" s="23" t="inlineStr">
        <is>
          <t>적용 마진 프리미엄 (토글 반영)</t>
        </is>
      </c>
      <c r="D24" s="25">
        <f>IF($C$7=2,D23,0)</f>
        <v/>
      </c>
      <c r="E24" s="25">
        <f>IF($C$7=2,E23,0)</f>
        <v/>
      </c>
      <c r="F24" s="25">
        <f>IF($C$7=2,F23,0)</f>
        <v/>
      </c>
      <c r="G24" s="25">
        <f>IF($C$7=2,G23,0)</f>
        <v/>
      </c>
      <c r="H24" s="25">
        <f>IF($C$7=2,H23,0)</f>
        <v/>
      </c>
      <c r="I24" s="25">
        <f>IF($C$7=2,I23,0)</f>
        <v/>
      </c>
      <c r="J24" s="25">
        <f>IF($C$7=2,J23,0)</f>
        <v/>
      </c>
      <c r="K24" s="25">
        <f>IF($C$7=2,K23,0)</f>
        <v/>
      </c>
      <c r="L24" s="25">
        <f>IF($C$7=2,L23,0)</f>
        <v/>
      </c>
      <c r="M24" s="25">
        <f>IF($C$7=2,M23,0)</f>
        <v/>
      </c>
    </row>
    <row r="25">
      <c r="B25" s="26" t="inlineStr">
        <is>
          <t>도출 ASP — 파우치 ($/kWh)</t>
        </is>
      </c>
      <c r="C25" s="8" t="inlineStr">
        <is>
          <t>토글로 선택</t>
        </is>
      </c>
      <c r="D25" s="27">
        <f>IF($C$7=2,D22,D21)</f>
        <v/>
      </c>
      <c r="E25" s="27">
        <f>IF($C$7=2,E22,E21)</f>
        <v/>
      </c>
      <c r="F25" s="27">
        <f>IF($C$7=2,F22,F21)</f>
        <v/>
      </c>
      <c r="G25" s="27">
        <f>IF($C$7=2,G22,G21)</f>
        <v/>
      </c>
      <c r="H25" s="27">
        <f>IF($C$7=2,H22,H21)</f>
        <v/>
      </c>
      <c r="I25" s="27">
        <f>IF($C$7=2,I22,I21)</f>
        <v/>
      </c>
      <c r="J25" s="27">
        <f>IF($C$7=2,J22,J21)</f>
        <v/>
      </c>
      <c r="K25" s="27">
        <f>IF($C$7=2,K22,K21)</f>
        <v/>
      </c>
      <c r="L25" s="27">
        <f>IF($C$7=2,L22,L21)</f>
        <v/>
      </c>
      <c r="M25" s="27">
        <f>IF($C$7=2,M22,M21)</f>
        <v/>
      </c>
    </row>
    <row r="27">
      <c r="B27" s="28" t="inlineStr">
        <is>
          <t>1 · SKBA (공장1) — LFP 파우치 · 1-1동(5.3×2, 자체전극) + 1-2동(전극 외부구매)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</row>
    <row r="28">
      <c r="B28" s="14" t="inlineStr">
        <is>
          <t>per-line</t>
        </is>
      </c>
      <c r="C28" s="15" t="n"/>
      <c r="D28" s="16" t="inlineStr">
        <is>
          <t>2026</t>
        </is>
      </c>
      <c r="E28" s="16" t="inlineStr">
        <is>
          <t>2027</t>
        </is>
      </c>
      <c r="F28" s="16" t="inlineStr">
        <is>
          <t>2028</t>
        </is>
      </c>
      <c r="G28" s="16" t="inlineStr">
        <is>
          <t>2029</t>
        </is>
      </c>
      <c r="H28" s="16" t="inlineStr">
        <is>
          <t>2030</t>
        </is>
      </c>
      <c r="I28" s="16" t="inlineStr">
        <is>
          <t>2031</t>
        </is>
      </c>
      <c r="J28" s="16" t="inlineStr">
        <is>
          <t>2032</t>
        </is>
      </c>
      <c r="K28" s="16" t="inlineStr">
        <is>
          <t>2033</t>
        </is>
      </c>
      <c r="L28" s="16" t="inlineStr">
        <is>
          <t>2034</t>
        </is>
      </c>
      <c r="M28" s="16" t="inlineStr">
        <is>
          <t>2035</t>
        </is>
      </c>
    </row>
    <row r="29">
      <c r="B29" s="30" t="inlineStr">
        <is>
          <t xml:space="preserve">  ▸ 공장1-1동 (파우치, '27, 라인당 5.3GW · 자체 전극)</t>
        </is>
      </c>
    </row>
    <row r="30">
      <c r="B30" s="17" t="inlineStr">
        <is>
          <t xml:space="preserve">  L1-1A</t>
        </is>
      </c>
      <c r="C30" s="8" t="inlineStr">
        <is>
          <t>파우치 · COD 2027</t>
        </is>
      </c>
      <c r="D30" s="31" t="n">
        <v>0</v>
      </c>
      <c r="E30" s="32" t="n">
        <v>5.3</v>
      </c>
      <c r="F30" s="32" t="n">
        <v>5.3</v>
      </c>
      <c r="G30" s="32" t="n">
        <v>5.3</v>
      </c>
      <c r="H30" s="32" t="n">
        <v>5.3</v>
      </c>
      <c r="I30" s="32" t="n">
        <v>5.3</v>
      </c>
      <c r="J30" s="32" t="n">
        <v>5.3</v>
      </c>
      <c r="K30" s="32" t="n">
        <v>5.3</v>
      </c>
      <c r="L30" s="32" t="n">
        <v>5.3</v>
      </c>
      <c r="M30" s="32" t="n">
        <v>5.3</v>
      </c>
    </row>
    <row r="31">
      <c r="B31" s="17" t="inlineStr">
        <is>
          <t xml:space="preserve">    └ 가동률 ★</t>
        </is>
      </c>
      <c r="D31" s="19" t="n">
        <v>0</v>
      </c>
      <c r="E31" s="19" t="n">
        <v>0.55</v>
      </c>
      <c r="F31" s="19" t="n">
        <v>0.7</v>
      </c>
      <c r="G31" s="19" t="n">
        <v>0.8</v>
      </c>
      <c r="H31" s="19" t="n">
        <v>0.88</v>
      </c>
      <c r="I31" s="19" t="n">
        <v>0.9</v>
      </c>
      <c r="J31" s="19" t="n">
        <v>0.9</v>
      </c>
      <c r="K31" s="19" t="n">
        <v>0.9</v>
      </c>
      <c r="L31" s="19" t="n">
        <v>0.9</v>
      </c>
      <c r="M31" s="19" t="n">
        <v>0.9</v>
      </c>
    </row>
    <row r="32">
      <c r="B32" s="17" t="inlineStr">
        <is>
          <t xml:space="preserve">    └ Shipped (GWh)</t>
        </is>
      </c>
      <c r="C32" s="8" t="inlineStr">
        <is>
          <t>명판×가동×토글</t>
        </is>
      </c>
      <c r="D32" s="33">
        <f>D30*D31*$C$6</f>
        <v/>
      </c>
      <c r="E32" s="33">
        <f>E30*E31*$C$6</f>
        <v/>
      </c>
      <c r="F32" s="33">
        <f>F30*F31*$C$6</f>
        <v/>
      </c>
      <c r="G32" s="33">
        <f>G30*G31*$C$6</f>
        <v/>
      </c>
      <c r="H32" s="33">
        <f>H30*H31*$C$6</f>
        <v/>
      </c>
      <c r="I32" s="33">
        <f>I30*I31*$C$6</f>
        <v/>
      </c>
      <c r="J32" s="33">
        <f>J30*J31*$C$6</f>
        <v/>
      </c>
      <c r="K32" s="33">
        <f>K30*K31*$C$6</f>
        <v/>
      </c>
      <c r="L32" s="33">
        <f>L30*L31*$C$6</f>
        <v/>
      </c>
      <c r="M32" s="33">
        <f>M30*M31*$C$6</f>
        <v/>
      </c>
    </row>
    <row r="33">
      <c r="B33" s="17" t="inlineStr">
        <is>
          <t xml:space="preserve">  L1-1B</t>
        </is>
      </c>
      <c r="C33" s="8" t="inlineStr">
        <is>
          <t>파우치 · COD 2027</t>
        </is>
      </c>
      <c r="D33" s="31" t="n">
        <v>0</v>
      </c>
      <c r="E33" s="32" t="n">
        <v>5.3</v>
      </c>
      <c r="F33" s="32" t="n">
        <v>5.3</v>
      </c>
      <c r="G33" s="32" t="n">
        <v>5.3</v>
      </c>
      <c r="H33" s="32" t="n">
        <v>5.3</v>
      </c>
      <c r="I33" s="32" t="n">
        <v>5.3</v>
      </c>
      <c r="J33" s="32" t="n">
        <v>5.3</v>
      </c>
      <c r="K33" s="32" t="n">
        <v>5.3</v>
      </c>
      <c r="L33" s="32" t="n">
        <v>5.3</v>
      </c>
      <c r="M33" s="32" t="n">
        <v>5.3</v>
      </c>
    </row>
    <row r="34">
      <c r="B34" s="17" t="inlineStr">
        <is>
          <t xml:space="preserve">    └ 가동률 ★</t>
        </is>
      </c>
      <c r="D34" s="19" t="n">
        <v>0</v>
      </c>
      <c r="E34" s="19" t="n">
        <v>0.55</v>
      </c>
      <c r="F34" s="19" t="n">
        <v>0.7</v>
      </c>
      <c r="G34" s="19" t="n">
        <v>0.8</v>
      </c>
      <c r="H34" s="19" t="n">
        <v>0.88</v>
      </c>
      <c r="I34" s="19" t="n">
        <v>0.9</v>
      </c>
      <c r="J34" s="19" t="n">
        <v>0.9</v>
      </c>
      <c r="K34" s="19" t="n">
        <v>0.9</v>
      </c>
      <c r="L34" s="19" t="n">
        <v>0.9</v>
      </c>
      <c r="M34" s="19" t="n">
        <v>0.9</v>
      </c>
    </row>
    <row r="35">
      <c r="B35" s="17" t="inlineStr">
        <is>
          <t xml:space="preserve">    └ Shipped (GWh)</t>
        </is>
      </c>
      <c r="C35" s="8" t="inlineStr">
        <is>
          <t>명판×가동×토글</t>
        </is>
      </c>
      <c r="D35" s="33">
        <f>D33*D34*$C$6</f>
        <v/>
      </c>
      <c r="E35" s="33">
        <f>E33*E34*$C$6</f>
        <v/>
      </c>
      <c r="F35" s="33">
        <f>F33*F34*$C$6</f>
        <v/>
      </c>
      <c r="G35" s="33">
        <f>G33*G34*$C$6</f>
        <v/>
      </c>
      <c r="H35" s="33">
        <f>H33*H34*$C$6</f>
        <v/>
      </c>
      <c r="I35" s="33">
        <f>I33*I34*$C$6</f>
        <v/>
      </c>
      <c r="J35" s="33">
        <f>J33*J34*$C$6</f>
        <v/>
      </c>
      <c r="K35" s="33">
        <f>K33*K34*$C$6</f>
        <v/>
      </c>
      <c r="L35" s="33">
        <f>L33*L34*$C$6</f>
        <v/>
      </c>
      <c r="M35" s="33">
        <f>M33*M34*$C$6</f>
        <v/>
      </c>
    </row>
    <row r="36">
      <c r="B36" s="30" t="inlineStr">
        <is>
          <t xml:space="preserve">  ▸ 공장1-2동 (파우치, '28, 전극 외부구매)</t>
        </is>
      </c>
    </row>
    <row r="37">
      <c r="B37" s="17" t="inlineStr">
        <is>
          <t xml:space="preserve">  L1-2C</t>
        </is>
      </c>
      <c r="C37" s="8" t="inlineStr">
        <is>
          <t>파우치 · COD 2028</t>
        </is>
      </c>
      <c r="D37" s="31" t="n">
        <v>0</v>
      </c>
      <c r="E37" s="31" t="n">
        <v>0</v>
      </c>
      <c r="F37" s="32" t="n">
        <v>5.3</v>
      </c>
      <c r="G37" s="32" t="n">
        <v>5.3</v>
      </c>
      <c r="H37" s="32" t="n">
        <v>5.3</v>
      </c>
      <c r="I37" s="32" t="n">
        <v>5.3</v>
      </c>
      <c r="J37" s="32" t="n">
        <v>5.3</v>
      </c>
      <c r="K37" s="32" t="n">
        <v>5.3</v>
      </c>
      <c r="L37" s="32" t="n">
        <v>5.3</v>
      </c>
      <c r="M37" s="32" t="n">
        <v>5.3</v>
      </c>
    </row>
    <row r="38">
      <c r="B38" s="17" t="inlineStr">
        <is>
          <t xml:space="preserve">    └ 가동률 ★</t>
        </is>
      </c>
      <c r="D38" s="19" t="n">
        <v>0</v>
      </c>
      <c r="E38" s="19" t="n">
        <v>0</v>
      </c>
      <c r="F38" s="19" t="n">
        <v>0.55</v>
      </c>
      <c r="G38" s="19" t="n">
        <v>0.7</v>
      </c>
      <c r="H38" s="19" t="n">
        <v>0.82</v>
      </c>
      <c r="I38" s="19" t="n">
        <v>0.88</v>
      </c>
      <c r="J38" s="19" t="n">
        <v>0.9</v>
      </c>
      <c r="K38" s="19" t="n">
        <v>0.9</v>
      </c>
      <c r="L38" s="19" t="n">
        <v>0.9</v>
      </c>
      <c r="M38" s="19" t="n">
        <v>0.9</v>
      </c>
    </row>
    <row r="39">
      <c r="B39" s="17" t="inlineStr">
        <is>
          <t xml:space="preserve">    └ Shipped (GWh)</t>
        </is>
      </c>
      <c r="C39" s="8" t="inlineStr">
        <is>
          <t>명판×가동×토글</t>
        </is>
      </c>
      <c r="D39" s="33">
        <f>D37*D38*$C$6</f>
        <v/>
      </c>
      <c r="E39" s="33">
        <f>E37*E38*$C$6</f>
        <v/>
      </c>
      <c r="F39" s="33">
        <f>F37*F38*$C$6</f>
        <v/>
      </c>
      <c r="G39" s="33">
        <f>G37*G38*$C$6</f>
        <v/>
      </c>
      <c r="H39" s="33">
        <f>H37*H38*$C$6</f>
        <v/>
      </c>
      <c r="I39" s="33">
        <f>I37*I38*$C$6</f>
        <v/>
      </c>
      <c r="J39" s="33">
        <f>J37*J38*$C$6</f>
        <v/>
      </c>
      <c r="K39" s="33">
        <f>K37*K38*$C$6</f>
        <v/>
      </c>
      <c r="L39" s="33">
        <f>L37*L38*$C$6</f>
        <v/>
      </c>
      <c r="M39" s="33">
        <f>M37*M38*$C$6</f>
        <v/>
      </c>
    </row>
    <row r="40">
      <c r="B40" s="17" t="inlineStr">
        <is>
          <t xml:space="preserve">  L1-2D</t>
        </is>
      </c>
      <c r="C40" s="8" t="inlineStr">
        <is>
          <t>파우치 · COD 2028</t>
        </is>
      </c>
      <c r="D40" s="31" t="n">
        <v>0</v>
      </c>
      <c r="E40" s="31" t="n">
        <v>0</v>
      </c>
      <c r="F40" s="32" t="n">
        <v>5.3</v>
      </c>
      <c r="G40" s="32" t="n">
        <v>5.3</v>
      </c>
      <c r="H40" s="32" t="n">
        <v>5.3</v>
      </c>
      <c r="I40" s="32" t="n">
        <v>5.3</v>
      </c>
      <c r="J40" s="32" t="n">
        <v>5.3</v>
      </c>
      <c r="K40" s="32" t="n">
        <v>5.3</v>
      </c>
      <c r="L40" s="32" t="n">
        <v>5.3</v>
      </c>
      <c r="M40" s="32" t="n">
        <v>5.3</v>
      </c>
    </row>
    <row r="41">
      <c r="B41" s="17" t="inlineStr">
        <is>
          <t xml:space="preserve">    └ 가동률 ★</t>
        </is>
      </c>
      <c r="D41" s="19" t="n">
        <v>0</v>
      </c>
      <c r="E41" s="19" t="n">
        <v>0</v>
      </c>
      <c r="F41" s="19" t="n">
        <v>0.55</v>
      </c>
      <c r="G41" s="19" t="n">
        <v>0.7</v>
      </c>
      <c r="H41" s="19" t="n">
        <v>0.82</v>
      </c>
      <c r="I41" s="19" t="n">
        <v>0.88</v>
      </c>
      <c r="J41" s="19" t="n">
        <v>0.9</v>
      </c>
      <c r="K41" s="19" t="n">
        <v>0.9</v>
      </c>
      <c r="L41" s="19" t="n">
        <v>0.9</v>
      </c>
      <c r="M41" s="19" t="n">
        <v>0.9</v>
      </c>
    </row>
    <row r="42">
      <c r="B42" s="17" t="inlineStr">
        <is>
          <t xml:space="preserve">    └ Shipped (GWh)</t>
        </is>
      </c>
      <c r="C42" s="8" t="inlineStr">
        <is>
          <t>명판×가동×토글</t>
        </is>
      </c>
      <c r="D42" s="33">
        <f>D40*D41*$C$6</f>
        <v/>
      </c>
      <c r="E42" s="33">
        <f>E40*E41*$C$6</f>
        <v/>
      </c>
      <c r="F42" s="33">
        <f>F40*F41*$C$6</f>
        <v/>
      </c>
      <c r="G42" s="33">
        <f>G40*G41*$C$6</f>
        <v/>
      </c>
      <c r="H42" s="33">
        <f>H40*H41*$C$6</f>
        <v/>
      </c>
      <c r="I42" s="33">
        <f>I40*I41*$C$6</f>
        <v/>
      </c>
      <c r="J42" s="33">
        <f>J40*J41*$C$6</f>
        <v/>
      </c>
      <c r="K42" s="33">
        <f>K40*K41*$C$6</f>
        <v/>
      </c>
      <c r="L42" s="33">
        <f>L40*L41*$C$6</f>
        <v/>
      </c>
      <c r="M42" s="33">
        <f>M40*M41*$C$6</f>
        <v/>
      </c>
    </row>
    <row r="43">
      <c r="B43" s="6" t="inlineStr">
        <is>
          <t>1-1동 shipped (GWh)</t>
        </is>
      </c>
      <c r="C43" s="8" t="inlineStr">
        <is>
          <t>자체 전극</t>
        </is>
      </c>
      <c r="D43" s="33">
        <f>D32+D35</f>
        <v/>
      </c>
      <c r="E43" s="33">
        <f>E32+E35</f>
        <v/>
      </c>
      <c r="F43" s="33">
        <f>F32+F35</f>
        <v/>
      </c>
      <c r="G43" s="33">
        <f>G32+G35</f>
        <v/>
      </c>
      <c r="H43" s="33">
        <f>H32+H35</f>
        <v/>
      </c>
      <c r="I43" s="33">
        <f>I32+I35</f>
        <v/>
      </c>
      <c r="J43" s="33">
        <f>J32+J35</f>
        <v/>
      </c>
      <c r="K43" s="33">
        <f>K32+K35</f>
        <v/>
      </c>
      <c r="L43" s="33">
        <f>L32+L35</f>
        <v/>
      </c>
      <c r="M43" s="33">
        <f>M32+M35</f>
        <v/>
      </c>
    </row>
    <row r="44">
      <c r="B44" s="6" t="inlineStr">
        <is>
          <t>1-2동 shipped (GWh)</t>
        </is>
      </c>
      <c r="C44" s="8" t="inlineStr">
        <is>
          <t>전극 외부구매</t>
        </is>
      </c>
      <c r="D44" s="33">
        <f>D39+D42</f>
        <v/>
      </c>
      <c r="E44" s="33">
        <f>E39+E42</f>
        <v/>
      </c>
      <c r="F44" s="33">
        <f>F39+F42</f>
        <v/>
      </c>
      <c r="G44" s="33">
        <f>G39+G42</f>
        <v/>
      </c>
      <c r="H44" s="33">
        <f>H39+H42</f>
        <v/>
      </c>
      <c r="I44" s="33">
        <f>I39+I42</f>
        <v/>
      </c>
      <c r="J44" s="33">
        <f>J39+J42</f>
        <v/>
      </c>
      <c r="K44" s="33">
        <f>K39+K42</f>
        <v/>
      </c>
      <c r="L44" s="33">
        <f>L39+L42</f>
        <v/>
      </c>
      <c r="M44" s="33">
        <f>M39+M42</f>
        <v/>
      </c>
    </row>
    <row r="45">
      <c r="B45" s="6" t="inlineStr">
        <is>
          <t>SKBA shipped 합계 (GWh)</t>
        </is>
      </c>
      <c r="C45" s="8" t="inlineStr">
        <is>
          <t>4개 라인 합</t>
        </is>
      </c>
      <c r="D45" s="33">
        <f>D43+D44</f>
        <v/>
      </c>
      <c r="E45" s="33">
        <f>E43+E44</f>
        <v/>
      </c>
      <c r="F45" s="33">
        <f>F43+F44</f>
        <v/>
      </c>
      <c r="G45" s="33">
        <f>G43+G44</f>
        <v/>
      </c>
      <c r="H45" s="33">
        <f>H43+H44</f>
        <v/>
      </c>
      <c r="I45" s="33">
        <f>I43+I44</f>
        <v/>
      </c>
      <c r="J45" s="33">
        <f>J43+J44</f>
        <v/>
      </c>
      <c r="K45" s="33">
        <f>K43+K44</f>
        <v/>
      </c>
      <c r="L45" s="33">
        <f>L43+L44</f>
        <v/>
      </c>
      <c r="M45" s="33">
        <f>M43+M44</f>
        <v/>
      </c>
    </row>
    <row r="46">
      <c r="B46" s="17" t="inlineStr">
        <is>
          <t>ASP — 파우치 ($/kWh)</t>
        </is>
      </c>
      <c r="C46" s="8" t="inlineStr">
        <is>
          <t>관세하한 도출 ASP 링크</t>
        </is>
      </c>
      <c r="D46" s="24">
        <f>D25</f>
        <v/>
      </c>
      <c r="E46" s="24">
        <f>E25</f>
        <v/>
      </c>
      <c r="F46" s="24">
        <f>F25</f>
        <v/>
      </c>
      <c r="G46" s="24">
        <f>G25</f>
        <v/>
      </c>
      <c r="H46" s="24">
        <f>H25</f>
        <v/>
      </c>
      <c r="I46" s="24">
        <f>I25</f>
        <v/>
      </c>
      <c r="J46" s="24">
        <f>J25</f>
        <v/>
      </c>
      <c r="K46" s="24">
        <f>K25</f>
        <v/>
      </c>
      <c r="L46" s="24">
        <f>L25</f>
        <v/>
      </c>
      <c r="M46" s="24">
        <f>M25</f>
        <v/>
      </c>
    </row>
    <row r="47">
      <c r="B47" s="17" t="inlineStr">
        <is>
          <t xml:space="preserve">  1-1동 gross margin (%) ★</t>
        </is>
      </c>
      <c r="C47" s="8" t="inlineStr">
        <is>
          <t>자체 전극·ex-AMPC EBITDA 9% (지분 수익률 기준)</t>
        </is>
      </c>
      <c r="D47" s="19" t="n">
        <v>0</v>
      </c>
      <c r="E47" s="19" t="n">
        <v>0.16</v>
      </c>
      <c r="F47" s="19" t="n">
        <v>0.16</v>
      </c>
      <c r="G47" s="19" t="n">
        <v>0.16</v>
      </c>
      <c r="H47" s="19" t="n">
        <v>0.16</v>
      </c>
      <c r="I47" s="19" t="n">
        <v>0.16</v>
      </c>
      <c r="J47" s="19" t="n">
        <v>0.16</v>
      </c>
      <c r="K47" s="19" t="n">
        <v>0.16</v>
      </c>
      <c r="L47" s="19" t="n">
        <v>0.16</v>
      </c>
      <c r="M47" s="19" t="n">
        <v>0.16</v>
      </c>
    </row>
    <row r="48">
      <c r="B48" s="17" t="inlineStr">
        <is>
          <t xml:space="preserve">  1-2동 gross margin (%) ★</t>
        </is>
      </c>
      <c r="C48" s="8" t="inlineStr">
        <is>
          <t>전극 외부구매·통합마진 반영(ex-AMPC EBITDA 9%)</t>
        </is>
      </c>
      <c r="D48" s="19" t="n">
        <v>0</v>
      </c>
      <c r="E48" s="19" t="n">
        <v>0</v>
      </c>
      <c r="F48" s="19" t="n">
        <v>0.14</v>
      </c>
      <c r="G48" s="19" t="n">
        <v>0.14</v>
      </c>
      <c r="H48" s="19" t="n">
        <v>0.14</v>
      </c>
      <c r="I48" s="19" t="n">
        <v>0.14</v>
      </c>
      <c r="J48" s="19" t="n">
        <v>0.14</v>
      </c>
      <c r="K48" s="19" t="n">
        <v>0.14</v>
      </c>
      <c r="L48" s="19" t="n">
        <v>0.14</v>
      </c>
      <c r="M48" s="19" t="n">
        <v>0.14</v>
      </c>
    </row>
    <row r="49">
      <c r="B49" s="17" t="inlineStr">
        <is>
          <t>1-1동 COGS ($/kWh)</t>
        </is>
      </c>
      <c r="C49" s="8" t="inlineStr">
        <is>
          <t>ASP×(1−1-1마진)</t>
        </is>
      </c>
      <c r="D49" s="34">
        <f>D46*(1-D47-D24)</f>
        <v/>
      </c>
      <c r="E49" s="34">
        <f>E46*(1-E47-E24)</f>
        <v/>
      </c>
      <c r="F49" s="34">
        <f>F46*(1-F47-F24)</f>
        <v/>
      </c>
      <c r="G49" s="34">
        <f>G46*(1-G47-G24)</f>
        <v/>
      </c>
      <c r="H49" s="34">
        <f>H46*(1-H47-H24)</f>
        <v/>
      </c>
      <c r="I49" s="34">
        <f>I46*(1-I47-I24)</f>
        <v/>
      </c>
      <c r="J49" s="34">
        <f>J46*(1-J47-J24)</f>
        <v/>
      </c>
      <c r="K49" s="34">
        <f>K46*(1-K47-K24)</f>
        <v/>
      </c>
      <c r="L49" s="34">
        <f>L46*(1-L47-L24)</f>
        <v/>
      </c>
      <c r="M49" s="34">
        <f>M46*(1-M47-M24)</f>
        <v/>
      </c>
    </row>
    <row r="50">
      <c r="B50" s="17" t="inlineStr">
        <is>
          <t>1-2동 COGS ($/kWh)</t>
        </is>
      </c>
      <c r="C50" s="8" t="inlineStr">
        <is>
          <t>전극 외부구매로 원가↑</t>
        </is>
      </c>
      <c r="D50" s="34">
        <f>D46*(1-D48-D24)</f>
        <v/>
      </c>
      <c r="E50" s="34">
        <f>E46*(1-E48-E24)</f>
        <v/>
      </c>
      <c r="F50" s="34">
        <f>F46*(1-F48-F24)</f>
        <v/>
      </c>
      <c r="G50" s="34">
        <f>G46*(1-G48-G24)</f>
        <v/>
      </c>
      <c r="H50" s="34">
        <f>H46*(1-H48-H24)</f>
        <v/>
      </c>
      <c r="I50" s="34">
        <f>I46*(1-I48-I24)</f>
        <v/>
      </c>
      <c r="J50" s="34">
        <f>J46*(1-J48-J24)</f>
        <v/>
      </c>
      <c r="K50" s="34">
        <f>K46*(1-K48-K24)</f>
        <v/>
      </c>
      <c r="L50" s="34">
        <f>L46*(1-L48-L24)</f>
        <v/>
      </c>
      <c r="M50" s="34">
        <f>M46*(1-M48-M24)</f>
        <v/>
      </c>
    </row>
    <row r="51">
      <c r="B51" s="17" t="inlineStr">
        <is>
          <t>Retrofit capex — 1-1동 ($mm) ★</t>
        </is>
      </c>
      <c r="C51" s="8" t="inlineStr">
        <is>
          <t>전극공정 포함</t>
        </is>
      </c>
      <c r="D51" s="18" t="n">
        <v>200</v>
      </c>
      <c r="E51" s="18" t="n">
        <v>120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</row>
    <row r="52">
      <c r="B52" s="17" t="inlineStr">
        <is>
          <t>Retrofit capex — 1-2동 ($mm) ★</t>
        </is>
      </c>
      <c r="C52" s="8" t="inlineStr">
        <is>
          <t>전극 외부구매→경량 capex</t>
        </is>
      </c>
      <c r="D52" s="18" t="n">
        <v>0</v>
      </c>
      <c r="E52" s="18" t="n">
        <v>60</v>
      </c>
      <c r="F52" s="18" t="n">
        <v>40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</row>
    <row r="53">
      <c r="B53" s="6" t="inlineStr">
        <is>
          <t>SKBA capex 합계 ($mm)</t>
        </is>
      </c>
      <c r="D53" s="35">
        <f>D51+D52</f>
        <v/>
      </c>
      <c r="E53" s="35">
        <f>E51+E52</f>
        <v/>
      </c>
      <c r="F53" s="35">
        <f>F51+F52</f>
        <v/>
      </c>
      <c r="G53" s="35">
        <f>G51+G52</f>
        <v/>
      </c>
      <c r="H53" s="35">
        <f>H51+H52</f>
        <v/>
      </c>
      <c r="I53" s="35">
        <f>I51+I52</f>
        <v/>
      </c>
      <c r="J53" s="35">
        <f>J51+J52</f>
        <v/>
      </c>
      <c r="K53" s="35">
        <f>K51+K52</f>
        <v/>
      </c>
      <c r="L53" s="35">
        <f>L51+L52</f>
        <v/>
      </c>
      <c r="M53" s="35">
        <f>M51+M52</f>
        <v/>
      </c>
    </row>
    <row r="55">
      <c r="B55" s="11" t="inlineStr">
        <is>
          <t>2 · SKOT (공장2) — 각형 13.5×2 + 파우치 2.7 = 29.7 GWh · '28 가동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B56" s="13" t="inlineStr">
        <is>
          <t>라인당 캐파 입력값 (각형 13.5GW×2, 파우치 2.7GW) · COD 2028 가정</t>
        </is>
      </c>
    </row>
    <row r="57">
      <c r="B57" s="14" t="inlineStr">
        <is>
          <t>per-line</t>
        </is>
      </c>
      <c r="C57" s="15" t="n"/>
      <c r="D57" s="16" t="inlineStr">
        <is>
          <t>2026</t>
        </is>
      </c>
      <c r="E57" s="16" t="inlineStr">
        <is>
          <t>2027</t>
        </is>
      </c>
      <c r="F57" s="16" t="inlineStr">
        <is>
          <t>2028</t>
        </is>
      </c>
      <c r="G57" s="16" t="inlineStr">
        <is>
          <t>2029</t>
        </is>
      </c>
      <c r="H57" s="16" t="inlineStr">
        <is>
          <t>2030</t>
        </is>
      </c>
      <c r="I57" s="16" t="inlineStr">
        <is>
          <t>2031</t>
        </is>
      </c>
      <c r="J57" s="16" t="inlineStr">
        <is>
          <t>2032</t>
        </is>
      </c>
      <c r="K57" s="16" t="inlineStr">
        <is>
          <t>2033</t>
        </is>
      </c>
      <c r="L57" s="16" t="inlineStr">
        <is>
          <t>2034</t>
        </is>
      </c>
      <c r="M57" s="16" t="inlineStr">
        <is>
          <t>2035</t>
        </is>
      </c>
    </row>
    <row r="58">
      <c r="B58" s="36" t="inlineStr">
        <is>
          <t xml:space="preserve">  ▸ 각형 라인 (prismatic) · 라인당 13.5GW</t>
        </is>
      </c>
    </row>
    <row r="59">
      <c r="B59" s="17" t="inlineStr">
        <is>
          <t xml:space="preserve">  각형 L1</t>
        </is>
      </c>
      <c r="C59" s="8" t="inlineStr">
        <is>
          <t>각형 · COD 2028</t>
        </is>
      </c>
      <c r="D59" s="31" t="n">
        <v>0</v>
      </c>
      <c r="E59" s="31" t="n">
        <v>0</v>
      </c>
      <c r="F59" s="37" t="n">
        <v>13.5</v>
      </c>
      <c r="G59" s="37" t="n">
        <v>13.5</v>
      </c>
      <c r="H59" s="37" t="n">
        <v>13.5</v>
      </c>
      <c r="I59" s="37" t="n">
        <v>13.5</v>
      </c>
      <c r="J59" s="37" t="n">
        <v>13.5</v>
      </c>
      <c r="K59" s="37" t="n">
        <v>13.5</v>
      </c>
      <c r="L59" s="37" t="n">
        <v>13.5</v>
      </c>
      <c r="M59" s="37" t="n">
        <v>13.5</v>
      </c>
    </row>
    <row r="60">
      <c r="B60" s="17" t="inlineStr">
        <is>
          <t xml:space="preserve">    └ 가동률 ★</t>
        </is>
      </c>
      <c r="D60" s="19" t="n">
        <v>0</v>
      </c>
      <c r="E60" s="19" t="n">
        <v>0</v>
      </c>
      <c r="F60" s="19" t="n">
        <v>0.35</v>
      </c>
      <c r="G60" s="19" t="n">
        <v>0.55</v>
      </c>
      <c r="H60" s="19" t="n">
        <v>0.7</v>
      </c>
      <c r="I60" s="19" t="n">
        <v>0.8</v>
      </c>
      <c r="J60" s="19" t="n">
        <v>0.85</v>
      </c>
      <c r="K60" s="19" t="n">
        <v>0.85</v>
      </c>
      <c r="L60" s="19" t="n">
        <v>0.85</v>
      </c>
      <c r="M60" s="19" t="n">
        <v>0.85</v>
      </c>
    </row>
    <row r="61">
      <c r="B61" s="17" t="inlineStr">
        <is>
          <t xml:space="preserve">    └ Shipped (GWh)</t>
        </is>
      </c>
      <c r="C61" s="8" t="inlineStr">
        <is>
          <t>명판×가동×토글</t>
        </is>
      </c>
      <c r="D61" s="33">
        <f>D59*D60*$C$6</f>
        <v/>
      </c>
      <c r="E61" s="33">
        <f>E59*E60*$C$6</f>
        <v/>
      </c>
      <c r="F61" s="33">
        <f>F59*F60*$C$6</f>
        <v/>
      </c>
      <c r="G61" s="33">
        <f>G59*G60*$C$6</f>
        <v/>
      </c>
      <c r="H61" s="33">
        <f>H59*H60*$C$6</f>
        <v/>
      </c>
      <c r="I61" s="33">
        <f>I59*I60*$C$6</f>
        <v/>
      </c>
      <c r="J61" s="33">
        <f>J59*J60*$C$6</f>
        <v/>
      </c>
      <c r="K61" s="33">
        <f>K59*K60*$C$6</f>
        <v/>
      </c>
      <c r="L61" s="33">
        <f>L59*L60*$C$6</f>
        <v/>
      </c>
      <c r="M61" s="33">
        <f>M59*M60*$C$6</f>
        <v/>
      </c>
    </row>
    <row r="62">
      <c r="B62" s="17" t="inlineStr">
        <is>
          <t xml:space="preserve">  각형 L2</t>
        </is>
      </c>
      <c r="C62" s="8" t="inlineStr">
        <is>
          <t>각형 · COD 2028</t>
        </is>
      </c>
      <c r="D62" s="31" t="n">
        <v>0</v>
      </c>
      <c r="E62" s="31" t="n">
        <v>0</v>
      </c>
      <c r="F62" s="37" t="n">
        <v>13.5</v>
      </c>
      <c r="G62" s="37" t="n">
        <v>13.5</v>
      </c>
      <c r="H62" s="37" t="n">
        <v>13.5</v>
      </c>
      <c r="I62" s="37" t="n">
        <v>13.5</v>
      </c>
      <c r="J62" s="37" t="n">
        <v>13.5</v>
      </c>
      <c r="K62" s="37" t="n">
        <v>13.5</v>
      </c>
      <c r="L62" s="37" t="n">
        <v>13.5</v>
      </c>
      <c r="M62" s="37" t="n">
        <v>13.5</v>
      </c>
    </row>
    <row r="63">
      <c r="B63" s="17" t="inlineStr">
        <is>
          <t xml:space="preserve">    └ 가동률 ★</t>
        </is>
      </c>
      <c r="D63" s="19" t="n">
        <v>0</v>
      </c>
      <c r="E63" s="19" t="n">
        <v>0</v>
      </c>
      <c r="F63" s="19" t="n">
        <v>0.35</v>
      </c>
      <c r="G63" s="19" t="n">
        <v>0.55</v>
      </c>
      <c r="H63" s="19" t="n">
        <v>0.7</v>
      </c>
      <c r="I63" s="19" t="n">
        <v>0.8</v>
      </c>
      <c r="J63" s="19" t="n">
        <v>0.85</v>
      </c>
      <c r="K63" s="19" t="n">
        <v>0.85</v>
      </c>
      <c r="L63" s="19" t="n">
        <v>0.85</v>
      </c>
      <c r="M63" s="19" t="n">
        <v>0.85</v>
      </c>
    </row>
    <row r="64">
      <c r="B64" s="17" t="inlineStr">
        <is>
          <t xml:space="preserve">    └ Shipped (GWh)</t>
        </is>
      </c>
      <c r="C64" s="8" t="inlineStr">
        <is>
          <t>명판×가동×토글</t>
        </is>
      </c>
      <c r="D64" s="33">
        <f>D62*D63*$C$6</f>
        <v/>
      </c>
      <c r="E64" s="33">
        <f>E62*E63*$C$6</f>
        <v/>
      </c>
      <c r="F64" s="33">
        <f>F62*F63*$C$6</f>
        <v/>
      </c>
      <c r="G64" s="33">
        <f>G62*G63*$C$6</f>
        <v/>
      </c>
      <c r="H64" s="33">
        <f>H62*H63*$C$6</f>
        <v/>
      </c>
      <c r="I64" s="33">
        <f>I62*I63*$C$6</f>
        <v/>
      </c>
      <c r="J64" s="33">
        <f>J62*J63*$C$6</f>
        <v/>
      </c>
      <c r="K64" s="33">
        <f>K62*K63*$C$6</f>
        <v/>
      </c>
      <c r="L64" s="33">
        <f>L62*L63*$C$6</f>
        <v/>
      </c>
      <c r="M64" s="33">
        <f>M62*M63*$C$6</f>
        <v/>
      </c>
    </row>
    <row r="65">
      <c r="B65" s="36" t="inlineStr">
        <is>
          <t xml:space="preserve">  ▸ 파우치 라인 (pouch) · 2.7GW</t>
        </is>
      </c>
    </row>
    <row r="66">
      <c r="B66" s="17" t="inlineStr">
        <is>
          <t xml:space="preserve">  파우치 L3</t>
        </is>
      </c>
      <c r="C66" s="8" t="inlineStr">
        <is>
          <t>파우치 · COD 2028</t>
        </is>
      </c>
      <c r="D66" s="31" t="n">
        <v>0</v>
      </c>
      <c r="E66" s="31" t="n">
        <v>0</v>
      </c>
      <c r="F66" s="37" t="n">
        <v>2.7</v>
      </c>
      <c r="G66" s="37" t="n">
        <v>2.7</v>
      </c>
      <c r="H66" s="37" t="n">
        <v>2.7</v>
      </c>
      <c r="I66" s="37" t="n">
        <v>2.7</v>
      </c>
      <c r="J66" s="37" t="n">
        <v>2.7</v>
      </c>
      <c r="K66" s="37" t="n">
        <v>2.7</v>
      </c>
      <c r="L66" s="37" t="n">
        <v>2.7</v>
      </c>
      <c r="M66" s="37" t="n">
        <v>2.7</v>
      </c>
    </row>
    <row r="67">
      <c r="B67" s="17" t="inlineStr">
        <is>
          <t xml:space="preserve">    └ 가동률 ★</t>
        </is>
      </c>
      <c r="D67" s="19" t="n">
        <v>0</v>
      </c>
      <c r="E67" s="19" t="n">
        <v>0</v>
      </c>
      <c r="F67" s="19" t="n">
        <v>0.35</v>
      </c>
      <c r="G67" s="19" t="n">
        <v>0.55</v>
      </c>
      <c r="H67" s="19" t="n">
        <v>0.7</v>
      </c>
      <c r="I67" s="19" t="n">
        <v>0.8</v>
      </c>
      <c r="J67" s="19" t="n">
        <v>0.85</v>
      </c>
      <c r="K67" s="19" t="n">
        <v>0.85</v>
      </c>
      <c r="L67" s="19" t="n">
        <v>0.85</v>
      </c>
      <c r="M67" s="19" t="n">
        <v>0.85</v>
      </c>
    </row>
    <row r="68">
      <c r="B68" s="17" t="inlineStr">
        <is>
          <t xml:space="preserve">    └ Shipped (GWh)</t>
        </is>
      </c>
      <c r="C68" s="8" t="inlineStr">
        <is>
          <t>명판×가동×토글</t>
        </is>
      </c>
      <c r="D68" s="33">
        <f>D66*D67*$C$6</f>
        <v/>
      </c>
      <c r="E68" s="33">
        <f>E66*E67*$C$6</f>
        <v/>
      </c>
      <c r="F68" s="33">
        <f>F66*F67*$C$6</f>
        <v/>
      </c>
      <c r="G68" s="33">
        <f>G66*G67*$C$6</f>
        <v/>
      </c>
      <c r="H68" s="33">
        <f>H66*H67*$C$6</f>
        <v/>
      </c>
      <c r="I68" s="33">
        <f>I66*I67*$C$6</f>
        <v/>
      </c>
      <c r="J68" s="33">
        <f>J66*J67*$C$6</f>
        <v/>
      </c>
      <c r="K68" s="33">
        <f>K66*K67*$C$6</f>
        <v/>
      </c>
      <c r="L68" s="33">
        <f>L66*L67*$C$6</f>
        <v/>
      </c>
      <c r="M68" s="33">
        <f>M66*M67*$C$6</f>
        <v/>
      </c>
    </row>
    <row r="69">
      <c r="B69" s="6" t="inlineStr">
        <is>
          <t>SKOT 각형 shipped (GWh)</t>
        </is>
      </c>
      <c r="C69" s="8" t="inlineStr">
        <is>
          <t>각형 2라인</t>
        </is>
      </c>
      <c r="D69" s="33">
        <f>D61+D64</f>
        <v/>
      </c>
      <c r="E69" s="33">
        <f>E61+E64</f>
        <v/>
      </c>
      <c r="F69" s="33">
        <f>F61+F64</f>
        <v/>
      </c>
      <c r="G69" s="33">
        <f>G61+G64</f>
        <v/>
      </c>
      <c r="H69" s="33">
        <f>H61+H64</f>
        <v/>
      </c>
      <c r="I69" s="33">
        <f>I61+I64</f>
        <v/>
      </c>
      <c r="J69" s="33">
        <f>J61+J64</f>
        <v/>
      </c>
      <c r="K69" s="33">
        <f>K61+K64</f>
        <v/>
      </c>
      <c r="L69" s="33">
        <f>L61+L64</f>
        <v/>
      </c>
      <c r="M69" s="33">
        <f>M61+M64</f>
        <v/>
      </c>
    </row>
    <row r="70">
      <c r="B70" s="6" t="inlineStr">
        <is>
          <t>SKOT 파우치 shipped (GWh)</t>
        </is>
      </c>
      <c r="C70" s="8" t="inlineStr">
        <is>
          <t>파우치 1라인</t>
        </is>
      </c>
      <c r="D70" s="33">
        <f>D68</f>
        <v/>
      </c>
      <c r="E70" s="33">
        <f>E68</f>
        <v/>
      </c>
      <c r="F70" s="33">
        <f>F68</f>
        <v/>
      </c>
      <c r="G70" s="33">
        <f>G68</f>
        <v/>
      </c>
      <c r="H70" s="33">
        <f>H68</f>
        <v/>
      </c>
      <c r="I70" s="33">
        <f>I68</f>
        <v/>
      </c>
      <c r="J70" s="33">
        <f>J68</f>
        <v/>
      </c>
      <c r="K70" s="33">
        <f>K68</f>
        <v/>
      </c>
      <c r="L70" s="33">
        <f>L68</f>
        <v/>
      </c>
      <c r="M70" s="33">
        <f>M68</f>
        <v/>
      </c>
    </row>
    <row r="71">
      <c r="B71" s="17" t="inlineStr">
        <is>
          <t xml:space="preserve">  각형 할인 (파우치 대비 %) ★</t>
        </is>
      </c>
      <c r="C71" s="8" t="inlineStr">
        <is>
          <t>각형 대용량·저가</t>
        </is>
      </c>
      <c r="D71" s="19" t="n">
        <v>0</v>
      </c>
      <c r="E71" s="19" t="n">
        <v>0</v>
      </c>
      <c r="F71" s="19" t="n">
        <v>0.04</v>
      </c>
      <c r="G71" s="19" t="n">
        <v>0.04</v>
      </c>
      <c r="H71" s="19" t="n">
        <v>0.04</v>
      </c>
      <c r="I71" s="19" t="n">
        <v>0.04</v>
      </c>
      <c r="J71" s="19" t="n">
        <v>0.04</v>
      </c>
      <c r="K71" s="19" t="n">
        <v>0.04</v>
      </c>
      <c r="L71" s="19" t="n">
        <v>0.04</v>
      </c>
      <c r="M71" s="19" t="n">
        <v>0.04</v>
      </c>
    </row>
    <row r="72">
      <c r="B72" s="17" t="inlineStr">
        <is>
          <t>ASP — 각형 ($/kWh)</t>
        </is>
      </c>
      <c r="C72" s="8" t="inlineStr">
        <is>
          <t>도출ASP×(1−할인)</t>
        </is>
      </c>
      <c r="D72" s="38">
        <f>D25*(1-D71)</f>
        <v/>
      </c>
      <c r="E72" s="38">
        <f>E25*(1-E71)</f>
        <v/>
      </c>
      <c r="F72" s="38">
        <f>F25*(1-F71)</f>
        <v/>
      </c>
      <c r="G72" s="38">
        <f>G25*(1-G71)</f>
        <v/>
      </c>
      <c r="H72" s="38">
        <f>H25*(1-H71)</f>
        <v/>
      </c>
      <c r="I72" s="38">
        <f>I25*(1-I71)</f>
        <v/>
      </c>
      <c r="J72" s="38">
        <f>J25*(1-J71)</f>
        <v/>
      </c>
      <c r="K72" s="38">
        <f>K25*(1-K71)</f>
        <v/>
      </c>
      <c r="L72" s="38">
        <f>L25*(1-L71)</f>
        <v/>
      </c>
      <c r="M72" s="38">
        <f>M25*(1-M71)</f>
        <v/>
      </c>
    </row>
    <row r="73">
      <c r="B73" s="17" t="inlineStr">
        <is>
          <t xml:space="preserve">  목표 각형 gross margin (%) ★</t>
        </is>
      </c>
      <c r="D73" s="19" t="n">
        <v>0</v>
      </c>
      <c r="E73" s="19" t="n">
        <v>0</v>
      </c>
      <c r="F73" s="19" t="n">
        <v>0.15</v>
      </c>
      <c r="G73" s="19" t="n">
        <v>0.15</v>
      </c>
      <c r="H73" s="19" t="n">
        <v>0.15</v>
      </c>
      <c r="I73" s="19" t="n">
        <v>0.15</v>
      </c>
      <c r="J73" s="19" t="n">
        <v>0.15</v>
      </c>
      <c r="K73" s="19" t="n">
        <v>0.15</v>
      </c>
      <c r="L73" s="19" t="n">
        <v>0.15</v>
      </c>
      <c r="M73" s="19" t="n">
        <v>0.15</v>
      </c>
    </row>
    <row r="74">
      <c r="B74" s="17" t="inlineStr">
        <is>
          <t>COGS — 각형 ($/kWh)</t>
        </is>
      </c>
      <c r="C74" s="8" t="inlineStr">
        <is>
          <t>ASP×(1−마진)</t>
        </is>
      </c>
      <c r="D74" s="34">
        <f>D72*(1-D73-D24)</f>
        <v/>
      </c>
      <c r="E74" s="34">
        <f>E72*(1-E73-E24)</f>
        <v/>
      </c>
      <c r="F74" s="34">
        <f>F72*(1-F73-F24)</f>
        <v/>
      </c>
      <c r="G74" s="34">
        <f>G72*(1-G73-G24)</f>
        <v/>
      </c>
      <c r="H74" s="34">
        <f>H72*(1-H73-H24)</f>
        <v/>
      </c>
      <c r="I74" s="34">
        <f>I72*(1-I73-I24)</f>
        <v/>
      </c>
      <c r="J74" s="34">
        <f>J72*(1-J73-J24)</f>
        <v/>
      </c>
      <c r="K74" s="34">
        <f>K72*(1-K73-K24)</f>
        <v/>
      </c>
      <c r="L74" s="34">
        <f>L72*(1-L73-L24)</f>
        <v/>
      </c>
      <c r="M74" s="34">
        <f>M72*(1-M73-M24)</f>
        <v/>
      </c>
    </row>
    <row r="75">
      <c r="B75" s="17" t="inlineStr">
        <is>
          <t>ASP — 파우치 ($/kWh)</t>
        </is>
      </c>
      <c r="C75" s="8" t="inlineStr">
        <is>
          <t>도출ASP 링크(SKBA 동일)</t>
        </is>
      </c>
      <c r="D75" s="24">
        <f>D25</f>
        <v/>
      </c>
      <c r="E75" s="24">
        <f>E25</f>
        <v/>
      </c>
      <c r="F75" s="24">
        <f>F25</f>
        <v/>
      </c>
      <c r="G75" s="24">
        <f>G25</f>
        <v/>
      </c>
      <c r="H75" s="24">
        <f>H25</f>
        <v/>
      </c>
      <c r="I75" s="24">
        <f>I25</f>
        <v/>
      </c>
      <c r="J75" s="24">
        <f>J25</f>
        <v/>
      </c>
      <c r="K75" s="24">
        <f>K25</f>
        <v/>
      </c>
      <c r="L75" s="24">
        <f>L25</f>
        <v/>
      </c>
      <c r="M75" s="24">
        <f>M25</f>
        <v/>
      </c>
    </row>
    <row r="76">
      <c r="B76" s="17" t="inlineStr">
        <is>
          <t xml:space="preserve">  목표 파우치 gross margin (%) ★</t>
        </is>
      </c>
      <c r="D76" s="19" t="n">
        <v>0</v>
      </c>
      <c r="E76" s="19" t="n">
        <v>0</v>
      </c>
      <c r="F76" s="19" t="n">
        <v>0.15</v>
      </c>
      <c r="G76" s="19" t="n">
        <v>0.15</v>
      </c>
      <c r="H76" s="19" t="n">
        <v>0.15</v>
      </c>
      <c r="I76" s="19" t="n">
        <v>0.15</v>
      </c>
      <c r="J76" s="19" t="n">
        <v>0.15</v>
      </c>
      <c r="K76" s="19" t="n">
        <v>0.15</v>
      </c>
      <c r="L76" s="19" t="n">
        <v>0.15</v>
      </c>
      <c r="M76" s="19" t="n">
        <v>0.15</v>
      </c>
    </row>
    <row r="77">
      <c r="B77" s="17" t="inlineStr">
        <is>
          <t>COGS — 파우치 ($/kWh)</t>
        </is>
      </c>
      <c r="C77" s="8" t="inlineStr">
        <is>
          <t>ASP×(1−마진)</t>
        </is>
      </c>
      <c r="D77" s="34">
        <f>D75*(1-D76-D24)</f>
        <v/>
      </c>
      <c r="E77" s="34">
        <f>E75*(1-E76-E24)</f>
        <v/>
      </c>
      <c r="F77" s="34">
        <f>F75*(1-F76-F24)</f>
        <v/>
      </c>
      <c r="G77" s="34">
        <f>G75*(1-G76-G24)</f>
        <v/>
      </c>
      <c r="H77" s="34">
        <f>H75*(1-H76-H24)</f>
        <v/>
      </c>
      <c r="I77" s="34">
        <f>I75*(1-I76-I24)</f>
        <v/>
      </c>
      <c r="J77" s="34">
        <f>J75*(1-J76-J24)</f>
        <v/>
      </c>
      <c r="K77" s="34">
        <f>K75*(1-K76-K24)</f>
        <v/>
      </c>
      <c r="L77" s="34">
        <f>L75*(1-L76-L24)</f>
        <v/>
      </c>
      <c r="M77" s="34">
        <f>M75*(1-M76-M24)</f>
        <v/>
      </c>
    </row>
    <row r="78">
      <c r="B78" s="17" t="inlineStr">
        <is>
          <t>Retrofit capex ($mm) ★</t>
        </is>
      </c>
      <c r="C78" s="8" t="inlineStr">
        <is>
          <t>개조 ~$1.0bn</t>
        </is>
      </c>
      <c r="D78" s="18" t="n">
        <v>200</v>
      </c>
      <c r="E78" s="18" t="n">
        <v>500</v>
      </c>
      <c r="F78" s="18" t="n">
        <v>300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</row>
    <row r="80">
      <c r="B80" s="39" t="inlineStr">
        <is>
          <t>3 · SHARED — OPEX / CAPEX / WC / DCF</t>
        </is>
      </c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</row>
    <row r="81">
      <c r="B81" s="17" t="inlineStr">
        <is>
          <t>SG&amp;A (% of revenue) ★</t>
        </is>
      </c>
      <c r="C81" s="19" t="n">
        <v>0.06</v>
      </c>
    </row>
    <row r="82">
      <c r="B82" s="17" t="inlineStr">
        <is>
          <t>D&amp;A (% of gross PP&amp;E) ★</t>
        </is>
      </c>
      <c r="C82" s="19" t="n">
        <v>0.0667</v>
      </c>
      <c r="D82" s="8" t="inlineStr">
        <is>
          <t>≈15y</t>
        </is>
      </c>
    </row>
    <row r="83">
      <c r="B83" s="17" t="inlineStr">
        <is>
          <t>Maintenance capex (% rev) ★</t>
        </is>
      </c>
      <c r="C83" s="19" t="n">
        <v>0.03</v>
      </c>
    </row>
    <row r="84">
      <c r="B84" s="17" t="inlineStr">
        <is>
          <t>CapEx 정부 그랜트 (% of growth capex) ★</t>
        </is>
      </c>
      <c r="C84" s="19" t="n">
        <v>0.1</v>
      </c>
      <c r="D84" s="8" t="inlineStr">
        <is>
          <t>설비보조금→SK 출자 경감</t>
        </is>
      </c>
    </row>
    <row r="85">
      <c r="B85" s="17" t="inlineStr">
        <is>
          <t>Net working capital (% rev) ★</t>
        </is>
      </c>
      <c r="C85" s="19" t="n">
        <v>0.15</v>
      </c>
    </row>
    <row r="86">
      <c r="B86" s="17" t="inlineStr">
        <is>
          <t>Cash tax rate ★</t>
        </is>
      </c>
      <c r="C86" s="19" t="n">
        <v>0.23</v>
      </c>
      <c r="D86" s="8" t="inlineStr">
        <is>
          <t>AMPC 비과세</t>
        </is>
      </c>
    </row>
    <row r="87">
      <c r="B87" s="17" t="inlineStr">
        <is>
          <t>SKBA 기초 NOL (누적결손) ★</t>
        </is>
      </c>
      <c r="C87" s="18" t="n">
        <v>4000</v>
      </c>
      <c r="D87" s="8" t="inlineStr">
        <is>
          <t>SK온 출자분 중 누적손실(추정·DART 확인要)</t>
        </is>
      </c>
    </row>
    <row r="88">
      <c r="B88" s="17" t="inlineStr">
        <is>
          <t>SKOT 기초 NOL ★</t>
        </is>
      </c>
      <c r="C88" s="18" t="n">
        <v>0</v>
      </c>
      <c r="D88" s="8" t="inlineStr">
        <is>
          <t>분할 신설 → 0</t>
        </is>
      </c>
    </row>
    <row r="89">
      <c r="B89" s="17" t="inlineStr">
        <is>
          <t>NOL 공제 한도 (과세소득 %) ★</t>
        </is>
      </c>
      <c r="C89" s="19" t="n">
        <v>0.8</v>
      </c>
      <c r="D89" s="8" t="inlineStr">
        <is>
          <t>TCJA: 80%까지만 상계</t>
        </is>
      </c>
    </row>
    <row r="90">
      <c r="B90" s="17" t="inlineStr">
        <is>
          <t>WACC ★</t>
        </is>
      </c>
      <c r="C90" s="19" t="n">
        <v>0.105</v>
      </c>
    </row>
    <row r="91">
      <c r="B91" s="17" t="inlineStr">
        <is>
          <t>Cost of equity (FCFE 할인) ★</t>
        </is>
      </c>
      <c r="C91" s="19" t="n">
        <v>0.13</v>
      </c>
      <c r="D91" s="8" t="inlineStr">
        <is>
          <t>레버리지 반영 Ke</t>
        </is>
      </c>
    </row>
    <row r="92">
      <c r="B92" s="17" t="inlineStr">
        <is>
          <t>Terminal growth (TGR) ★</t>
        </is>
      </c>
      <c r="C92" s="19" t="n">
        <v>0.02</v>
      </c>
    </row>
    <row r="93">
      <c r="B93" s="17" t="inlineStr">
        <is>
          <t>Net debt incl. DOE loan ($mm) ★</t>
        </is>
      </c>
      <c r="C93" s="18" t="n">
        <v>6000</v>
      </c>
      <c r="D93" s="8" t="inlineStr">
        <is>
          <t>EV→Equity</t>
        </is>
      </c>
    </row>
    <row r="94">
      <c r="B94" s="17" t="inlineStr">
        <is>
          <t>Mid-year convention</t>
        </is>
      </c>
      <c r="C94" s="41" t="n">
        <v>0.5</v>
      </c>
    </row>
    <row r="96">
      <c r="B96" s="11" t="inlineStr">
        <is>
          <t>자본구조 — FCFE용 (하이브리드: HoldCo 우산 + 법인별 ring-fence)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B97" s="13" t="inlineStr">
        <is>
          <t>위(HoldCo)=통합 조달 / 아래(SPV)=격리·non-recourse · waiver는 OT 후순위 출자에만 좁게 사용</t>
        </is>
      </c>
    </row>
    <row r="98">
      <c r="B98" s="36" t="inlineStr">
        <is>
          <t xml:space="preserve">  ▸ HoldCo 레벨 (정부앵커·전략·인프라 크레딧 통합 조달)</t>
        </is>
      </c>
    </row>
    <row r="99">
      <c r="B99" s="17" t="inlineStr">
        <is>
          <t>HoldCo · 인프라 크레딧/메자닌 ($mm) ★</t>
        </is>
      </c>
      <c r="C99" s="18" t="n">
        <v>800</v>
      </c>
      <c r="D99" s="8" t="inlineStr">
        <is>
          <t>공통 조달 → 양 공장 후순위 출자</t>
        </is>
      </c>
    </row>
    <row r="100">
      <c r="B100" s="17" t="inlineStr">
        <is>
          <t>HoldCo · 크레딧 비용률 ★</t>
        </is>
      </c>
      <c r="C100" s="19" t="n">
        <v>0.09</v>
      </c>
      <c r="D100" s="8" t="inlineStr">
        <is>
          <t>통합조달 → 단독보다 저렴</t>
        </is>
      </c>
    </row>
    <row r="101">
      <c r="B101" s="30" t="inlineStr">
        <is>
          <t xml:space="preserve">  ▸ SKBA SPV (DOE-clean · 외부지분 ≤19.9%)</t>
        </is>
      </c>
    </row>
    <row r="102">
      <c r="B102" s="17" t="inlineStr">
        <is>
          <t>SKBA · project debt ($mm) ★</t>
        </is>
      </c>
      <c r="C102" s="18" t="n">
        <v>400</v>
      </c>
      <c r="D102" s="8" t="inlineStr">
        <is>
          <t>개조 capex 조달</t>
        </is>
      </c>
    </row>
    <row r="103">
      <c r="B103" s="17" t="inlineStr">
        <is>
          <t>SKBA · project debt 이자율 ★</t>
        </is>
      </c>
      <c r="C103" s="19" t="n">
        <v>0.06</v>
      </c>
      <c r="D103" s="8" t="inlineStr">
        <is>
          <t>DOE-clean → 저리</t>
        </is>
      </c>
    </row>
    <row r="104">
      <c r="B104" s="17" t="inlineStr">
        <is>
          <t>SKBA · HoldCo 후순위 출자 ($mm) ★</t>
        </is>
      </c>
      <c r="C104" s="18" t="n">
        <v>300</v>
      </c>
      <c r="D104" s="8" t="inlineStr">
        <is>
          <t>HoldCo 우산 배분</t>
        </is>
      </c>
    </row>
    <row r="105">
      <c r="B105" s="36" t="inlineStr">
        <is>
          <t xml:space="preserve">  ▸ SKOT SPV (DOE ring-fenced · waiver 전제)</t>
        </is>
      </c>
    </row>
    <row r="106">
      <c r="B106" s="17" t="inlineStr">
        <is>
          <t>SKOT · DOE loan 잔액 ($mm) ★</t>
        </is>
      </c>
      <c r="C106" s="18" t="n">
        <v>4000</v>
      </c>
      <c r="D106" s="8" t="inlineStr">
        <is>
          <t>이자만·원금상환 없음</t>
        </is>
      </c>
    </row>
    <row r="107">
      <c r="B107" s="17" t="inlineStr">
        <is>
          <t>SKOT · DOE 이자율 ★</t>
        </is>
      </c>
      <c r="C107" s="19" t="n">
        <v>0.05</v>
      </c>
      <c r="D107" s="8" t="inlineStr">
        <is>
          <t>이자만 5.0%</t>
        </is>
      </c>
    </row>
    <row r="108">
      <c r="B108" s="17" t="inlineStr">
        <is>
          <t>SKOT · 메자닌 ($mm) — 제거 ★</t>
        </is>
      </c>
      <c r="C108" s="18" t="n">
        <v>0</v>
      </c>
      <c r="D108" s="8" t="inlineStr">
        <is>
          <t>메자닌 제거: OT는 BA 증자(equity-down)로 자금조달</t>
        </is>
      </c>
    </row>
    <row r="109">
      <c r="B109" s="17" t="inlineStr">
        <is>
          <t>SKOT · 메자닌 배당률 (inert) ★</t>
        </is>
      </c>
      <c r="C109" s="19" t="n">
        <v>0.07000000000000001</v>
      </c>
      <c r="D109" s="8" t="inlineStr">
        <is>
          <t>메자닌 제거로 미사용 (bal=0)</t>
        </is>
      </c>
    </row>
    <row r="110">
      <c r="B110" s="17" t="inlineStr">
        <is>
          <t>SKOT · 메자닌 상환개시 (연도) ★</t>
        </is>
      </c>
      <c r="C110" s="42" t="n">
        <v>2029</v>
      </c>
      <c r="D110" s="8" t="inlineStr">
        <is>
          <t>(A)현금발생後 거치상환</t>
        </is>
      </c>
    </row>
    <row r="111">
      <c r="B111" s="17" t="inlineStr">
        <is>
          <t>SKOT · 메자닌 만기 (연도) ★</t>
        </is>
      </c>
      <c r="C111" s="42" t="n">
        <v>2032</v>
      </c>
      <c r="D111" s="8" t="inlineStr">
        <is>
          <t>(A)AMPC 창내 상환</t>
        </is>
      </c>
    </row>
    <row r="112">
      <c r="B112" s="17" t="inlineStr">
        <is>
          <t>SKOT · 에쿼티 키커 워런트 (%) ★</t>
        </is>
      </c>
      <c r="C112" s="19" t="n">
        <v>0.05</v>
      </c>
      <c r="D112" s="8" t="inlineStr">
        <is>
          <t>(B)OT SPV 지분, 현금정산형</t>
        </is>
      </c>
    </row>
    <row r="113">
      <c r="B113" s="17" t="inlineStr">
        <is>
          <t>SKOT · HoldCo 후순위 출자 ($mm) ★</t>
        </is>
      </c>
      <c r="C113" s="18" t="n">
        <v>500</v>
      </c>
      <c r="D113" s="8" t="inlineStr">
        <is>
          <t>waiver 전제·DOE 비담보 형태</t>
        </is>
      </c>
    </row>
    <row r="115">
      <c r="B115" s="8" t="inlineStr">
        <is>
          <t>FCFE = FCFF − 이자×(1−세금) − 우선배당(세후) − HoldCo 크레딧비용 배분 ± 순차입. DOE 이자만(원금상환 0).</t>
        </is>
      </c>
    </row>
    <row r="116">
      <c r="B116" s="8" t="inlineStr">
        <is>
          <t>HoldCo 크레딧비용은 후순위 출자액 비례로 BA·OT에 배분(세후, tax-shield 無 가정 — 메자닌 배당성격).</t>
        </is>
      </c>
    </row>
    <row r="118">
      <c r="B118" s="17" t="inlineStr">
        <is>
          <t>SKBA 순자산 NAV ($mm) ★</t>
        </is>
      </c>
      <c r="C118" s="43" t="n">
        <v>2000</v>
      </c>
      <c r="D118" s="8" t="inlineStr">
        <is>
          <t>추정: 출자~4.8조−누적결손, DART 확인要</t>
        </is>
      </c>
    </row>
    <row r="119">
      <c r="B119" s="17" t="inlineStr">
        <is>
          <t>SKOT 순자산 NAV ($mm) ★</t>
        </is>
      </c>
      <c r="C119" s="18" t="n">
        <v>3000</v>
      </c>
      <c r="D119" s="8" t="inlineStr">
        <is>
          <t>분할 PPA ~$3bn (DOE $4bn 차감後 순자산)</t>
        </is>
      </c>
    </row>
    <row r="121">
      <c r="B121" s="8" t="inlineStr">
        <is>
          <t>DART: SKBA 순자산·손익은 SK이노베이션 연결 사업보고서 종속기업 명세 공시(예 '22 -4,608억원). SKOT는 분할 신설→입력. AMPC 옵션A(셀 $35·법정 phase-out, 모듈 미반영).</t>
        </is>
      </c>
    </row>
    <row r="122">
      <c r="B122" s="44" t="inlineStr">
        <is>
          <t>NAV: SKBA 순자산 ~$2.0bn (추정: SK온 출자 ~4.8조원 − 누적결손; DART 자본총계 확인 필요) · SKOT $3.0bn (분할 PPA). SOTP 교차검증용.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</cols>
  <sheetData>
    <row r="1">
      <c r="B1" s="45" t="inlineStr">
        <is>
          <t>SKBA — P&amp;L → FCFF (4개 파우치 라인)</t>
        </is>
      </c>
    </row>
    <row r="2">
      <c r="B2" s="2" t="inlineStr">
        <is>
          <t>공장1-1(L1-1A/B '27) + 공장1-2(L1-2C/D '28) · 라인 합산</t>
        </is>
      </c>
    </row>
    <row r="4">
      <c r="B4" s="28" t="inlineStr">
        <is>
          <t>REVENUE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</row>
    <row r="5">
      <c r="B5" s="14" t="inlineStr">
        <is>
          <t>($mm)</t>
        </is>
      </c>
      <c r="C5" s="15" t="n"/>
      <c r="D5" s="16" t="inlineStr">
        <is>
          <t>2026</t>
        </is>
      </c>
      <c r="E5" s="16" t="inlineStr">
        <is>
          <t>2027</t>
        </is>
      </c>
      <c r="F5" s="16" t="inlineStr">
        <is>
          <t>2028</t>
        </is>
      </c>
      <c r="G5" s="16" t="inlineStr">
        <is>
          <t>2029</t>
        </is>
      </c>
      <c r="H5" s="16" t="inlineStr">
        <is>
          <t>2030</t>
        </is>
      </c>
      <c r="I5" s="16" t="inlineStr">
        <is>
          <t>2031</t>
        </is>
      </c>
      <c r="J5" s="16" t="inlineStr">
        <is>
          <t>2032</t>
        </is>
      </c>
      <c r="K5" s="16" t="inlineStr">
        <is>
          <t>2033</t>
        </is>
      </c>
      <c r="L5" s="16" t="inlineStr">
        <is>
          <t>2034</t>
        </is>
      </c>
      <c r="M5" s="16" t="inlineStr">
        <is>
          <t>2035</t>
        </is>
      </c>
    </row>
    <row r="6">
      <c r="B6" s="17" t="inlineStr">
        <is>
          <t>Shipped (GWh)</t>
        </is>
      </c>
      <c r="D6" s="46">
        <f>Assumptions!D45</f>
        <v/>
      </c>
      <c r="E6" s="46">
        <f>Assumptions!E45</f>
        <v/>
      </c>
      <c r="F6" s="46">
        <f>Assumptions!F45</f>
        <v/>
      </c>
      <c r="G6" s="46">
        <f>Assumptions!G45</f>
        <v/>
      </c>
      <c r="H6" s="46">
        <f>Assumptions!H45</f>
        <v/>
      </c>
      <c r="I6" s="46">
        <f>Assumptions!I45</f>
        <v/>
      </c>
      <c r="J6" s="46">
        <f>Assumptions!J45</f>
        <v/>
      </c>
      <c r="K6" s="46">
        <f>Assumptions!K45</f>
        <v/>
      </c>
      <c r="L6" s="46">
        <f>Assumptions!L45</f>
        <v/>
      </c>
      <c r="M6" s="46">
        <f>Assumptions!M45</f>
        <v/>
      </c>
    </row>
    <row r="7">
      <c r="B7" s="17" t="inlineStr">
        <is>
          <t>ASP ($/kWh)</t>
        </is>
      </c>
      <c r="D7" s="34">
        <f>Assumptions!D46</f>
        <v/>
      </c>
      <c r="E7" s="34">
        <f>Assumptions!E46</f>
        <v/>
      </c>
      <c r="F7" s="34">
        <f>Assumptions!F46</f>
        <v/>
      </c>
      <c r="G7" s="34">
        <f>Assumptions!G46</f>
        <v/>
      </c>
      <c r="H7" s="34">
        <f>Assumptions!H46</f>
        <v/>
      </c>
      <c r="I7" s="34">
        <f>Assumptions!I46</f>
        <v/>
      </c>
      <c r="J7" s="34">
        <f>Assumptions!J46</f>
        <v/>
      </c>
      <c r="K7" s="34">
        <f>Assumptions!K46</f>
        <v/>
      </c>
      <c r="L7" s="34">
        <f>Assumptions!L46</f>
        <v/>
      </c>
      <c r="M7" s="34">
        <f>Assumptions!M46</f>
        <v/>
      </c>
    </row>
    <row r="8">
      <c r="B8" s="47" t="inlineStr">
        <is>
          <t>Revenue</t>
        </is>
      </c>
      <c r="D8" s="48">
        <f>D6*D7</f>
        <v/>
      </c>
      <c r="E8" s="48">
        <f>E6*E7</f>
        <v/>
      </c>
      <c r="F8" s="48">
        <f>F6*F7</f>
        <v/>
      </c>
      <c r="G8" s="48">
        <f>G6*G7</f>
        <v/>
      </c>
      <c r="H8" s="48">
        <f>H6*H7</f>
        <v/>
      </c>
      <c r="I8" s="48">
        <f>I6*I7</f>
        <v/>
      </c>
      <c r="J8" s="48">
        <f>J6*J7</f>
        <v/>
      </c>
      <c r="K8" s="48">
        <f>K6*K7</f>
        <v/>
      </c>
      <c r="L8" s="48">
        <f>L6*L7</f>
        <v/>
      </c>
      <c r="M8" s="48">
        <f>M6*M7</f>
        <v/>
      </c>
    </row>
    <row r="9">
      <c r="B9" s="17" t="inlineStr">
        <is>
          <t>Cash COGS (1-1동+1-2동)</t>
        </is>
      </c>
      <c r="D9" s="34">
        <f>-(Assumptions!D43*Assumptions!D49+Assumptions!D44*Assumptions!D50)</f>
        <v/>
      </c>
      <c r="E9" s="34">
        <f>-(Assumptions!E43*Assumptions!E49+Assumptions!E44*Assumptions!E50)</f>
        <v/>
      </c>
      <c r="F9" s="34">
        <f>-(Assumptions!F43*Assumptions!F49+Assumptions!F44*Assumptions!F50)</f>
        <v/>
      </c>
      <c r="G9" s="34">
        <f>-(Assumptions!G43*Assumptions!G49+Assumptions!G44*Assumptions!G50)</f>
        <v/>
      </c>
      <c r="H9" s="34">
        <f>-(Assumptions!H43*Assumptions!H49+Assumptions!H44*Assumptions!H50)</f>
        <v/>
      </c>
      <c r="I9" s="34">
        <f>-(Assumptions!I43*Assumptions!I49+Assumptions!I44*Assumptions!I50)</f>
        <v/>
      </c>
      <c r="J9" s="34">
        <f>-(Assumptions!J43*Assumptions!J49+Assumptions!J44*Assumptions!J50)</f>
        <v/>
      </c>
      <c r="K9" s="34">
        <f>-(Assumptions!K43*Assumptions!K49+Assumptions!K44*Assumptions!K50)</f>
        <v/>
      </c>
      <c r="L9" s="34">
        <f>-(Assumptions!L43*Assumptions!L49+Assumptions!L44*Assumptions!L50)</f>
        <v/>
      </c>
      <c r="M9" s="34">
        <f>-(Assumptions!M43*Assumptions!M49+Assumptions!M44*Assumptions!M50)</f>
        <v/>
      </c>
    </row>
    <row r="10">
      <c r="B10" s="28" t="inlineStr">
        <is>
          <t>COST &amp; EBIT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</row>
    <row r="11">
      <c r="B11" s="14" t="inlineStr">
        <is>
          <t>($mm)</t>
        </is>
      </c>
      <c r="C11" s="15" t="n"/>
      <c r="D11" s="16" t="inlineStr">
        <is>
          <t>2026</t>
        </is>
      </c>
      <c r="E11" s="16" t="inlineStr">
        <is>
          <t>2027</t>
        </is>
      </c>
      <c r="F11" s="16" t="inlineStr">
        <is>
          <t>2028</t>
        </is>
      </c>
      <c r="G11" s="16" t="inlineStr">
        <is>
          <t>2029</t>
        </is>
      </c>
      <c r="H11" s="16" t="inlineStr">
        <is>
          <t>2030</t>
        </is>
      </c>
      <c r="I11" s="16" t="inlineStr">
        <is>
          <t>2031</t>
        </is>
      </c>
      <c r="J11" s="16" t="inlineStr">
        <is>
          <t>2032</t>
        </is>
      </c>
      <c r="K11" s="16" t="inlineStr">
        <is>
          <t>2033</t>
        </is>
      </c>
      <c r="L11" s="16" t="inlineStr">
        <is>
          <t>2034</t>
        </is>
      </c>
      <c r="M11" s="16" t="inlineStr">
        <is>
          <t>2035</t>
        </is>
      </c>
    </row>
    <row r="12">
      <c r="B12" s="47" t="inlineStr">
        <is>
          <t>Gross profit (pre-AMPC)</t>
        </is>
      </c>
      <c r="D12" s="48">
        <f>D8+D9</f>
        <v/>
      </c>
      <c r="E12" s="48">
        <f>E8+E9</f>
        <v/>
      </c>
      <c r="F12" s="48">
        <f>F8+F9</f>
        <v/>
      </c>
      <c r="G12" s="48">
        <f>G8+G9</f>
        <v/>
      </c>
      <c r="H12" s="48">
        <f>H8+H9</f>
        <v/>
      </c>
      <c r="I12" s="48">
        <f>I8+I9</f>
        <v/>
      </c>
      <c r="J12" s="48">
        <f>J8+J9</f>
        <v/>
      </c>
      <c r="K12" s="48">
        <f>K8+K9</f>
        <v/>
      </c>
      <c r="L12" s="48">
        <f>L8+L9</f>
        <v/>
      </c>
      <c r="M12" s="48">
        <f>M8+M9</f>
        <v/>
      </c>
    </row>
    <row r="13">
      <c r="B13" s="17" t="inlineStr">
        <is>
          <t>SG&amp;A</t>
        </is>
      </c>
      <c r="D13" s="34">
        <f>-D8*Assumptions!$C$81</f>
        <v/>
      </c>
      <c r="E13" s="34">
        <f>-E8*Assumptions!$C$81</f>
        <v/>
      </c>
      <c r="F13" s="34">
        <f>-F8*Assumptions!$C$81</f>
        <v/>
      </c>
      <c r="G13" s="34">
        <f>-G8*Assumptions!$C$81</f>
        <v/>
      </c>
      <c r="H13" s="34">
        <f>-H8*Assumptions!$C$81</f>
        <v/>
      </c>
      <c r="I13" s="34">
        <f>-I8*Assumptions!$C$81</f>
        <v/>
      </c>
      <c r="J13" s="34">
        <f>-J8*Assumptions!$C$81</f>
        <v/>
      </c>
      <c r="K13" s="34">
        <f>-K8*Assumptions!$C$81</f>
        <v/>
      </c>
      <c r="L13" s="34">
        <f>-L8*Assumptions!$C$81</f>
        <v/>
      </c>
      <c r="M13" s="34">
        <f>-M8*Assumptions!$C$81</f>
        <v/>
      </c>
    </row>
    <row r="14">
      <c r="B14" s="17" t="inlineStr">
        <is>
          <t>Gross PP&amp;E (cum.)</t>
        </is>
      </c>
      <c r="D14" s="34">
        <f>Assumptions!D53</f>
        <v/>
      </c>
      <c r="E14" s="34">
        <f>D14+Assumptions!E53</f>
        <v/>
      </c>
      <c r="F14" s="34">
        <f>E14+Assumptions!F53</f>
        <v/>
      </c>
      <c r="G14" s="34">
        <f>F14+Assumptions!G53</f>
        <v/>
      </c>
      <c r="H14" s="34">
        <f>G14+Assumptions!H53</f>
        <v/>
      </c>
      <c r="I14" s="34">
        <f>H14+Assumptions!I53</f>
        <v/>
      </c>
      <c r="J14" s="34">
        <f>I14+Assumptions!J53</f>
        <v/>
      </c>
      <c r="K14" s="34">
        <f>J14+Assumptions!K53</f>
        <v/>
      </c>
      <c r="L14" s="34">
        <f>K14+Assumptions!L53</f>
        <v/>
      </c>
      <c r="M14" s="34">
        <f>L14+Assumptions!M53</f>
        <v/>
      </c>
    </row>
    <row r="15">
      <c r="B15" s="17" t="inlineStr">
        <is>
          <t>D&amp;A</t>
        </is>
      </c>
      <c r="D15" s="34">
        <f>-D14*Assumptions!$C$82</f>
        <v/>
      </c>
      <c r="E15" s="34">
        <f>-E14*Assumptions!$C$82</f>
        <v/>
      </c>
      <c r="F15" s="34">
        <f>-F14*Assumptions!$C$82</f>
        <v/>
      </c>
      <c r="G15" s="34">
        <f>-G14*Assumptions!$C$82</f>
        <v/>
      </c>
      <c r="H15" s="34">
        <f>-H14*Assumptions!$C$82</f>
        <v/>
      </c>
      <c r="I15" s="34">
        <f>-I14*Assumptions!$C$82</f>
        <v/>
      </c>
      <c r="J15" s="34">
        <f>-J14*Assumptions!$C$82</f>
        <v/>
      </c>
      <c r="K15" s="34">
        <f>-K14*Assumptions!$C$82</f>
        <v/>
      </c>
      <c r="L15" s="34">
        <f>-L14*Assumptions!$C$82</f>
        <v/>
      </c>
      <c r="M15" s="34">
        <f>-M14*Assumptions!$C$82</f>
        <v/>
      </c>
    </row>
    <row r="16">
      <c r="B16" s="47" t="inlineStr">
        <is>
          <t>EBIT (pre-AMPC)</t>
        </is>
      </c>
      <c r="D16" s="48">
        <f>D12+D13+D15</f>
        <v/>
      </c>
      <c r="E16" s="48">
        <f>E12+E13+E15</f>
        <v/>
      </c>
      <c r="F16" s="48">
        <f>F12+F13+F15</f>
        <v/>
      </c>
      <c r="G16" s="48">
        <f>G12+G13+G15</f>
        <v/>
      </c>
      <c r="H16" s="48">
        <f>H12+H13+H15</f>
        <v/>
      </c>
      <c r="I16" s="48">
        <f>I12+I13+I15</f>
        <v/>
      </c>
      <c r="J16" s="48">
        <f>J12+J13+J15</f>
        <v/>
      </c>
      <c r="K16" s="48">
        <f>K12+K13+K15</f>
        <v/>
      </c>
      <c r="L16" s="48">
        <f>L12+L13+L15</f>
        <v/>
      </c>
      <c r="M16" s="48">
        <f>M12+M13+M15</f>
        <v/>
      </c>
    </row>
    <row r="17">
      <c r="B17" s="17" t="inlineStr">
        <is>
          <t xml:space="preserve">  margin pre-AMPC</t>
        </is>
      </c>
      <c r="D17" s="49">
        <f>IF(D8=0,0,D16/D8)</f>
        <v/>
      </c>
      <c r="E17" s="49">
        <f>IF(E8=0,0,E16/E8)</f>
        <v/>
      </c>
      <c r="F17" s="49">
        <f>IF(F8=0,0,F16/F8)</f>
        <v/>
      </c>
      <c r="G17" s="49">
        <f>IF(G8=0,0,G16/G8)</f>
        <v/>
      </c>
      <c r="H17" s="49">
        <f>IF(H8=0,0,H16/H8)</f>
        <v/>
      </c>
      <c r="I17" s="49">
        <f>IF(I8=0,0,I16/I8)</f>
        <v/>
      </c>
      <c r="J17" s="49">
        <f>IF(J8=0,0,J16/J8)</f>
        <v/>
      </c>
      <c r="K17" s="49">
        <f>IF(K8=0,0,K16/K8)</f>
        <v/>
      </c>
      <c r="L17" s="49">
        <f>IF(L8=0,0,L16/L8)</f>
        <v/>
      </c>
      <c r="M17" s="49">
        <f>IF(M8=0,0,M16/M8)</f>
        <v/>
      </c>
    </row>
    <row r="18">
      <c r="B18" s="17" t="inlineStr">
        <is>
          <t>Plus: AMPC 45X</t>
        </is>
      </c>
      <c r="D18" s="34">
        <f>(Assumptions!D45)*Assumptions!D8</f>
        <v/>
      </c>
      <c r="E18" s="34">
        <f>(Assumptions!E45)*Assumptions!E8</f>
        <v/>
      </c>
      <c r="F18" s="34">
        <f>(Assumptions!F45)*Assumptions!F8</f>
        <v/>
      </c>
      <c r="G18" s="34">
        <f>(Assumptions!G45)*Assumptions!G8</f>
        <v/>
      </c>
      <c r="H18" s="34">
        <f>(Assumptions!H45)*Assumptions!H8</f>
        <v/>
      </c>
      <c r="I18" s="34">
        <f>(Assumptions!I45)*Assumptions!I8</f>
        <v/>
      </c>
      <c r="J18" s="34">
        <f>(Assumptions!J45)*Assumptions!J8</f>
        <v/>
      </c>
      <c r="K18" s="34">
        <f>(Assumptions!K45)*Assumptions!K8</f>
        <v/>
      </c>
      <c r="L18" s="34">
        <f>(Assumptions!L45)*Assumptions!L8</f>
        <v/>
      </c>
      <c r="M18" s="34">
        <f>(Assumptions!M45)*Assumptions!M8</f>
        <v/>
      </c>
    </row>
    <row r="19">
      <c r="B19" s="47" t="inlineStr">
        <is>
          <t>EBIT (incl. AMPC)</t>
        </is>
      </c>
      <c r="D19" s="48">
        <f>D16+D18</f>
        <v/>
      </c>
      <c r="E19" s="48">
        <f>E16+E18</f>
        <v/>
      </c>
      <c r="F19" s="48">
        <f>F16+F18</f>
        <v/>
      </c>
      <c r="G19" s="48">
        <f>G16+G18</f>
        <v/>
      </c>
      <c r="H19" s="48">
        <f>H16+H18</f>
        <v/>
      </c>
      <c r="I19" s="48">
        <f>I16+I18</f>
        <v/>
      </c>
      <c r="J19" s="48">
        <f>J16+J18</f>
        <v/>
      </c>
      <c r="K19" s="48">
        <f>K16+K18</f>
        <v/>
      </c>
      <c r="L19" s="48">
        <f>L16+L18</f>
        <v/>
      </c>
      <c r="M19" s="48">
        <f>M16+M18</f>
        <v/>
      </c>
    </row>
    <row r="21">
      <c r="B21" s="28" t="inlineStr">
        <is>
          <t>UNLEVERED FCFF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</row>
    <row r="22">
      <c r="B22" s="14" t="inlineStr">
        <is>
          <t>($mm)</t>
        </is>
      </c>
      <c r="C22" s="15" t="n"/>
      <c r="D22" s="16" t="inlineStr">
        <is>
          <t>2026</t>
        </is>
      </c>
      <c r="E22" s="16" t="inlineStr">
        <is>
          <t>2027</t>
        </is>
      </c>
      <c r="F22" s="16" t="inlineStr">
        <is>
          <t>2028</t>
        </is>
      </c>
      <c r="G22" s="16" t="inlineStr">
        <is>
          <t>2029</t>
        </is>
      </c>
      <c r="H22" s="16" t="inlineStr">
        <is>
          <t>2030</t>
        </is>
      </c>
      <c r="I22" s="16" t="inlineStr">
        <is>
          <t>2031</t>
        </is>
      </c>
      <c r="J22" s="16" t="inlineStr">
        <is>
          <t>2032</t>
        </is>
      </c>
      <c r="K22" s="16" t="inlineStr">
        <is>
          <t>2033</t>
        </is>
      </c>
      <c r="L22" s="16" t="inlineStr">
        <is>
          <t>2034</t>
        </is>
      </c>
      <c r="M22" s="16" t="inlineStr">
        <is>
          <t>2035</t>
        </is>
      </c>
    </row>
    <row r="23">
      <c r="B23" s="17" t="inlineStr">
        <is>
          <t>과세소득 pre-NOL</t>
        </is>
      </c>
      <c r="D23" s="34">
        <f>MAX(0,D16)</f>
        <v/>
      </c>
      <c r="E23" s="34">
        <f>MAX(0,E16)</f>
        <v/>
      </c>
      <c r="F23" s="34">
        <f>MAX(0,F16)</f>
        <v/>
      </c>
      <c r="G23" s="34">
        <f>MAX(0,G16)</f>
        <v/>
      </c>
      <c r="H23" s="34">
        <f>MAX(0,H16)</f>
        <v/>
      </c>
      <c r="I23" s="34">
        <f>MAX(0,I16)</f>
        <v/>
      </c>
      <c r="J23" s="34">
        <f>MAX(0,J16)</f>
        <v/>
      </c>
      <c r="K23" s="34">
        <f>MAX(0,K16)</f>
        <v/>
      </c>
      <c r="L23" s="34">
        <f>MAX(0,L16)</f>
        <v/>
      </c>
      <c r="M23" s="34">
        <f>MAX(0,M16)</f>
        <v/>
      </c>
    </row>
    <row r="24">
      <c r="B24" s="17" t="inlineStr">
        <is>
          <t>NOL 기초잔액</t>
        </is>
      </c>
      <c r="D24" s="34">
        <f>Assumptions!$C$87</f>
        <v/>
      </c>
      <c r="E24" s="34">
        <f>D27</f>
        <v/>
      </c>
      <c r="F24" s="34">
        <f>E27</f>
        <v/>
      </c>
      <c r="G24" s="34">
        <f>F27</f>
        <v/>
      </c>
      <c r="H24" s="34">
        <f>G27</f>
        <v/>
      </c>
      <c r="I24" s="34">
        <f>H27</f>
        <v/>
      </c>
      <c r="J24" s="34">
        <f>I27</f>
        <v/>
      </c>
      <c r="K24" s="34">
        <f>J27</f>
        <v/>
      </c>
      <c r="L24" s="34">
        <f>K27</f>
        <v/>
      </c>
      <c r="M24" s="34">
        <f>L27</f>
        <v/>
      </c>
    </row>
    <row r="25">
      <c r="B25" s="17" t="inlineStr">
        <is>
          <t>NOL 사용 (80% 한도)</t>
        </is>
      </c>
      <c r="D25" s="34">
        <f>MIN(D24,D23*Assumptions!$C$89)</f>
        <v/>
      </c>
      <c r="E25" s="34">
        <f>MIN(E24,E23*Assumptions!$C$89)</f>
        <v/>
      </c>
      <c r="F25" s="34">
        <f>MIN(F24,F23*Assumptions!$C$89)</f>
        <v/>
      </c>
      <c r="G25" s="34">
        <f>MIN(G24,G23*Assumptions!$C$89)</f>
        <v/>
      </c>
      <c r="H25" s="34">
        <f>MIN(H24,H23*Assumptions!$C$89)</f>
        <v/>
      </c>
      <c r="I25" s="34">
        <f>MIN(I24,I23*Assumptions!$C$89)</f>
        <v/>
      </c>
      <c r="J25" s="34">
        <f>MIN(J24,J23*Assumptions!$C$89)</f>
        <v/>
      </c>
      <c r="K25" s="34">
        <f>MIN(K24,K23*Assumptions!$C$89)</f>
        <v/>
      </c>
      <c r="L25" s="34">
        <f>MIN(L24,L23*Assumptions!$C$89)</f>
        <v/>
      </c>
      <c r="M25" s="34">
        <f>MIN(M24,M23*Assumptions!$C$89)</f>
        <v/>
      </c>
    </row>
    <row r="26">
      <c r="B26" s="17" t="inlineStr">
        <is>
          <t>NOL 추가 (당기손실)</t>
        </is>
      </c>
      <c r="D26" s="34">
        <f>MAX(0,-D16)</f>
        <v/>
      </c>
      <c r="E26" s="34">
        <f>MAX(0,-E16)</f>
        <v/>
      </c>
      <c r="F26" s="34">
        <f>MAX(0,-F16)</f>
        <v/>
      </c>
      <c r="G26" s="34">
        <f>MAX(0,-G16)</f>
        <v/>
      </c>
      <c r="H26" s="34">
        <f>MAX(0,-H16)</f>
        <v/>
      </c>
      <c r="I26" s="34">
        <f>MAX(0,-I16)</f>
        <v/>
      </c>
      <c r="J26" s="34">
        <f>MAX(0,-J16)</f>
        <v/>
      </c>
      <c r="K26" s="34">
        <f>MAX(0,-K16)</f>
        <v/>
      </c>
      <c r="L26" s="34">
        <f>MAX(0,-L16)</f>
        <v/>
      </c>
      <c r="M26" s="34">
        <f>MAX(0,-M16)</f>
        <v/>
      </c>
    </row>
    <row r="27">
      <c r="B27" s="17" t="inlineStr">
        <is>
          <t>NOL 기말잔액</t>
        </is>
      </c>
      <c r="D27" s="34">
        <f>D24-D25+D26</f>
        <v/>
      </c>
      <c r="E27" s="34">
        <f>E24-E25+E26</f>
        <v/>
      </c>
      <c r="F27" s="34">
        <f>F24-F25+F26</f>
        <v/>
      </c>
      <c r="G27" s="34">
        <f>G24-G25+G26</f>
        <v/>
      </c>
      <c r="H27" s="34">
        <f>H24-H25+H26</f>
        <v/>
      </c>
      <c r="I27" s="34">
        <f>I24-I25+I26</f>
        <v/>
      </c>
      <c r="J27" s="34">
        <f>J24-J25+J26</f>
        <v/>
      </c>
      <c r="K27" s="34">
        <f>K24-K25+K26</f>
        <v/>
      </c>
      <c r="L27" s="34">
        <f>L24-L25+L26</f>
        <v/>
      </c>
      <c r="M27" s="34">
        <f>M24-M25+M26</f>
        <v/>
      </c>
    </row>
    <row r="28">
      <c r="B28" s="17" t="inlineStr">
        <is>
          <t>과세소득 post-NOL</t>
        </is>
      </c>
      <c r="D28" s="34">
        <f>D23-D25</f>
        <v/>
      </c>
      <c r="E28" s="34">
        <f>E23-E25</f>
        <v/>
      </c>
      <c r="F28" s="34">
        <f>F23-F25</f>
        <v/>
      </c>
      <c r="G28" s="34">
        <f>G23-G25</f>
        <v/>
      </c>
      <c r="H28" s="34">
        <f>H23-H25</f>
        <v/>
      </c>
      <c r="I28" s="34">
        <f>I23-I25</f>
        <v/>
      </c>
      <c r="J28" s="34">
        <f>J23-J25</f>
        <v/>
      </c>
      <c r="K28" s="34">
        <f>K23-K25</f>
        <v/>
      </c>
      <c r="L28" s="34">
        <f>L23-L25</f>
        <v/>
      </c>
      <c r="M28" s="34">
        <f>M23-M25</f>
        <v/>
      </c>
    </row>
    <row r="29">
      <c r="B29" s="17" t="inlineStr">
        <is>
          <t>현금세금 (AMPC 비과세)</t>
        </is>
      </c>
      <c r="D29" s="34">
        <f>-D28*Assumptions!$C$86</f>
        <v/>
      </c>
      <c r="E29" s="34">
        <f>-E28*Assumptions!$C$86</f>
        <v/>
      </c>
      <c r="F29" s="34">
        <f>-F28*Assumptions!$C$86</f>
        <v/>
      </c>
      <c r="G29" s="34">
        <f>-G28*Assumptions!$C$86</f>
        <v/>
      </c>
      <c r="H29" s="34">
        <f>-H28*Assumptions!$C$86</f>
        <v/>
      </c>
      <c r="I29" s="34">
        <f>-I28*Assumptions!$C$86</f>
        <v/>
      </c>
      <c r="J29" s="34">
        <f>-J28*Assumptions!$C$86</f>
        <v/>
      </c>
      <c r="K29" s="34">
        <f>-K28*Assumptions!$C$86</f>
        <v/>
      </c>
      <c r="L29" s="34">
        <f>-L28*Assumptions!$C$86</f>
        <v/>
      </c>
      <c r="M29" s="34">
        <f>-M28*Assumptions!$C$86</f>
        <v/>
      </c>
    </row>
    <row r="30">
      <c r="B30" s="47" t="inlineStr">
        <is>
          <t>NOPAT (NOL 반영)</t>
        </is>
      </c>
      <c r="D30" s="48">
        <f>D19+D29</f>
        <v/>
      </c>
      <c r="E30" s="48">
        <f>E19+E29</f>
        <v/>
      </c>
      <c r="F30" s="48">
        <f>F19+F29</f>
        <v/>
      </c>
      <c r="G30" s="48">
        <f>G19+G29</f>
        <v/>
      </c>
      <c r="H30" s="48">
        <f>H19+H29</f>
        <v/>
      </c>
      <c r="I30" s="48">
        <f>I19+I29</f>
        <v/>
      </c>
      <c r="J30" s="48">
        <f>J19+J29</f>
        <v/>
      </c>
      <c r="K30" s="48">
        <f>K19+K29</f>
        <v/>
      </c>
      <c r="L30" s="48">
        <f>L19+L29</f>
        <v/>
      </c>
      <c r="M30" s="48">
        <f>M19+M29</f>
        <v/>
      </c>
    </row>
    <row r="31">
      <c r="B31" s="17" t="inlineStr">
        <is>
          <t>Plus: D&amp;A</t>
        </is>
      </c>
      <c r="D31" s="34">
        <f>-D15</f>
        <v/>
      </c>
      <c r="E31" s="34">
        <f>-E15</f>
        <v/>
      </c>
      <c r="F31" s="34">
        <f>-F15</f>
        <v/>
      </c>
      <c r="G31" s="34">
        <f>-G15</f>
        <v/>
      </c>
      <c r="H31" s="34">
        <f>-H15</f>
        <v/>
      </c>
      <c r="I31" s="34">
        <f>-I15</f>
        <v/>
      </c>
      <c r="J31" s="34">
        <f>-J15</f>
        <v/>
      </c>
      <c r="K31" s="34">
        <f>-K15</f>
        <v/>
      </c>
      <c r="L31" s="34">
        <f>-L15</f>
        <v/>
      </c>
      <c r="M31" s="34">
        <f>-M15</f>
        <v/>
      </c>
    </row>
    <row r="32">
      <c r="B32" s="17" t="inlineStr">
        <is>
          <t>Less: maint capex</t>
        </is>
      </c>
      <c r="D32" s="34">
        <f>-D8*Assumptions!$C$83</f>
        <v/>
      </c>
      <c r="E32" s="34">
        <f>-E8*Assumptions!$C$83</f>
        <v/>
      </c>
      <c r="F32" s="34">
        <f>-F8*Assumptions!$C$83</f>
        <v/>
      </c>
      <c r="G32" s="34">
        <f>-G8*Assumptions!$C$83</f>
        <v/>
      </c>
      <c r="H32" s="34">
        <f>-H8*Assumptions!$C$83</f>
        <v/>
      </c>
      <c r="I32" s="34">
        <f>-I8*Assumptions!$C$83</f>
        <v/>
      </c>
      <c r="J32" s="34">
        <f>-J8*Assumptions!$C$83</f>
        <v/>
      </c>
      <c r="K32" s="34">
        <f>-K8*Assumptions!$C$83</f>
        <v/>
      </c>
      <c r="L32" s="34">
        <f>-L8*Assumptions!$C$83</f>
        <v/>
      </c>
      <c r="M32" s="34">
        <f>-M8*Assumptions!$C$83</f>
        <v/>
      </c>
    </row>
    <row r="33">
      <c r="B33" s="17" t="inlineStr">
        <is>
          <t>Less: growth capex</t>
        </is>
      </c>
      <c r="D33" s="34">
        <f>-Assumptions!D53</f>
        <v/>
      </c>
      <c r="E33" s="34">
        <f>-Assumptions!E53</f>
        <v/>
      </c>
      <c r="F33" s="34">
        <f>-Assumptions!F53</f>
        <v/>
      </c>
      <c r="G33" s="34">
        <f>-Assumptions!G53</f>
        <v/>
      </c>
      <c r="H33" s="34">
        <f>-Assumptions!H53</f>
        <v/>
      </c>
      <c r="I33" s="34">
        <f>-Assumptions!I53</f>
        <v/>
      </c>
      <c r="J33" s="34">
        <f>-Assumptions!J53</f>
        <v/>
      </c>
      <c r="K33" s="34">
        <f>-Assumptions!K53</f>
        <v/>
      </c>
      <c r="L33" s="34">
        <f>-Assumptions!L53</f>
        <v/>
      </c>
      <c r="M33" s="34">
        <f>-Assumptions!M53</f>
        <v/>
      </c>
    </row>
    <row r="34">
      <c r="B34" s="17" t="inlineStr">
        <is>
          <t>Plus: CapEx 그랜트 (10%)</t>
        </is>
      </c>
      <c r="D34" s="34">
        <f>Assumptions!D53*Assumptions!$C$84</f>
        <v/>
      </c>
      <c r="E34" s="34">
        <f>Assumptions!E53*Assumptions!$C$84</f>
        <v/>
      </c>
      <c r="F34" s="34">
        <f>Assumptions!F53*Assumptions!$C$84</f>
        <v/>
      </c>
      <c r="G34" s="34">
        <f>Assumptions!G53*Assumptions!$C$84</f>
        <v/>
      </c>
      <c r="H34" s="34">
        <f>Assumptions!H53*Assumptions!$C$84</f>
        <v/>
      </c>
      <c r="I34" s="34">
        <f>Assumptions!I53*Assumptions!$C$84</f>
        <v/>
      </c>
      <c r="J34" s="34">
        <f>Assumptions!J53*Assumptions!$C$84</f>
        <v/>
      </c>
      <c r="K34" s="34">
        <f>Assumptions!K53*Assumptions!$C$84</f>
        <v/>
      </c>
      <c r="L34" s="34">
        <f>Assumptions!L53*Assumptions!$C$84</f>
        <v/>
      </c>
      <c r="M34" s="34">
        <f>Assumptions!M53*Assumptions!$C$84</f>
        <v/>
      </c>
    </row>
    <row r="35">
      <c r="B35" s="17" t="inlineStr">
        <is>
          <t>NWC level</t>
        </is>
      </c>
      <c r="D35" s="34">
        <f>D8*Assumptions!$C$85</f>
        <v/>
      </c>
      <c r="E35" s="34">
        <f>E8*Assumptions!$C$85</f>
        <v/>
      </c>
      <c r="F35" s="34">
        <f>F8*Assumptions!$C$85</f>
        <v/>
      </c>
      <c r="G35" s="34">
        <f>G8*Assumptions!$C$85</f>
        <v/>
      </c>
      <c r="H35" s="34">
        <f>H8*Assumptions!$C$85</f>
        <v/>
      </c>
      <c r="I35" s="34">
        <f>I8*Assumptions!$C$85</f>
        <v/>
      </c>
      <c r="J35" s="34">
        <f>J8*Assumptions!$C$85</f>
        <v/>
      </c>
      <c r="K35" s="34">
        <f>K8*Assumptions!$C$85</f>
        <v/>
      </c>
      <c r="L35" s="34">
        <f>L8*Assumptions!$C$85</f>
        <v/>
      </c>
      <c r="M35" s="34">
        <f>M8*Assumptions!$C$85</f>
        <v/>
      </c>
    </row>
    <row r="36">
      <c r="B36" s="17" t="inlineStr">
        <is>
          <t>Less: ΔNWC</t>
        </is>
      </c>
      <c r="D36" s="34">
        <f>-D35</f>
        <v/>
      </c>
      <c r="E36" s="34">
        <f>-(E35-D35)</f>
        <v/>
      </c>
      <c r="F36" s="34">
        <f>-(F35-E35)</f>
        <v/>
      </c>
      <c r="G36" s="34">
        <f>-(G35-F35)</f>
        <v/>
      </c>
      <c r="H36" s="34">
        <f>-(H35-G35)</f>
        <v/>
      </c>
      <c r="I36" s="34">
        <f>-(I35-H35)</f>
        <v/>
      </c>
      <c r="J36" s="34">
        <f>-(J35-I35)</f>
        <v/>
      </c>
      <c r="K36" s="34">
        <f>-(K35-J35)</f>
        <v/>
      </c>
      <c r="L36" s="34">
        <f>-(L35-K35)</f>
        <v/>
      </c>
      <c r="M36" s="34">
        <f>-(M35-L35)</f>
        <v/>
      </c>
    </row>
    <row r="37">
      <c r="B37" s="50" t="inlineStr">
        <is>
          <t>Unlevered FCFF</t>
        </is>
      </c>
      <c r="D37" s="51">
        <f>D30+D31+D32+D33+D34+D36</f>
        <v/>
      </c>
      <c r="E37" s="51">
        <f>E30+E31+E32+E33+E34+E36</f>
        <v/>
      </c>
      <c r="F37" s="51">
        <f>F30+F31+F32+F33+F34+F36</f>
        <v/>
      </c>
      <c r="G37" s="51">
        <f>G30+G31+G32+G33+G34+G36</f>
        <v/>
      </c>
      <c r="H37" s="51">
        <f>H30+H31+H32+H33+H34+H36</f>
        <v/>
      </c>
      <c r="I37" s="51">
        <f>I30+I31+I32+I33+I34+I36</f>
        <v/>
      </c>
      <c r="J37" s="51">
        <f>J30+J31+J32+J33+J34+J36</f>
        <v/>
      </c>
      <c r="K37" s="51">
        <f>K30+K31+K32+K33+K34+K36</f>
        <v/>
      </c>
      <c r="L37" s="51">
        <f>L30+L31+L32+L33+L34+L36</f>
        <v/>
      </c>
      <c r="M37" s="51">
        <f>M30+M31+M32+M33+M34+M36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</cols>
  <sheetData>
    <row r="1">
      <c r="B1" s="45" t="inlineStr">
        <is>
          <t>SKOT — P&amp;L → FCFF (각형 2라인 + 파우치 1라인)</t>
        </is>
      </c>
    </row>
    <row r="2">
      <c r="B2" s="2" t="inlineStr">
        <is>
          <t>폼팩터별 매출 분리 · 각형 13.5×2 + 파우치 2.7 = 29.7GWh · COD '28</t>
        </is>
      </c>
    </row>
    <row r="4">
      <c r="B4" s="11" t="inlineStr">
        <is>
          <t>REVENUE — by formfactor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B5" s="14" t="inlineStr">
        <is>
          <t>($mm)</t>
        </is>
      </c>
      <c r="C5" s="15" t="n"/>
      <c r="D5" s="16" t="inlineStr">
        <is>
          <t>2026</t>
        </is>
      </c>
      <c r="E5" s="16" t="inlineStr">
        <is>
          <t>2027</t>
        </is>
      </c>
      <c r="F5" s="16" t="inlineStr">
        <is>
          <t>2028</t>
        </is>
      </c>
      <c r="G5" s="16" t="inlineStr">
        <is>
          <t>2029</t>
        </is>
      </c>
      <c r="H5" s="16" t="inlineStr">
        <is>
          <t>2030</t>
        </is>
      </c>
      <c r="I5" s="16" t="inlineStr">
        <is>
          <t>2031</t>
        </is>
      </c>
      <c r="J5" s="16" t="inlineStr">
        <is>
          <t>2032</t>
        </is>
      </c>
      <c r="K5" s="16" t="inlineStr">
        <is>
          <t>2033</t>
        </is>
      </c>
      <c r="L5" s="16" t="inlineStr">
        <is>
          <t>2034</t>
        </is>
      </c>
      <c r="M5" s="16" t="inlineStr">
        <is>
          <t>2035</t>
        </is>
      </c>
    </row>
    <row r="6">
      <c r="B6" s="17" t="inlineStr">
        <is>
          <t>각형 revenue</t>
        </is>
      </c>
      <c r="D6" s="52">
        <f>Assumptions!D69*Assumptions!D72</f>
        <v/>
      </c>
      <c r="E6" s="52">
        <f>Assumptions!E69*Assumptions!E72</f>
        <v/>
      </c>
      <c r="F6" s="52">
        <f>Assumptions!F69*Assumptions!F72</f>
        <v/>
      </c>
      <c r="G6" s="52">
        <f>Assumptions!G69*Assumptions!G72</f>
        <v/>
      </c>
      <c r="H6" s="52">
        <f>Assumptions!H69*Assumptions!H72</f>
        <v/>
      </c>
      <c r="I6" s="52">
        <f>Assumptions!I69*Assumptions!I72</f>
        <v/>
      </c>
      <c r="J6" s="52">
        <f>Assumptions!J69*Assumptions!J72</f>
        <v/>
      </c>
      <c r="K6" s="52">
        <f>Assumptions!K69*Assumptions!K72</f>
        <v/>
      </c>
      <c r="L6" s="52">
        <f>Assumptions!L69*Assumptions!L72</f>
        <v/>
      </c>
      <c r="M6" s="52">
        <f>Assumptions!M69*Assumptions!M72</f>
        <v/>
      </c>
    </row>
    <row r="7">
      <c r="B7" s="17" t="inlineStr">
        <is>
          <t>파우치 revenue</t>
        </is>
      </c>
      <c r="D7" s="52">
        <f>Assumptions!D70*Assumptions!D75</f>
        <v/>
      </c>
      <c r="E7" s="52">
        <f>Assumptions!E70*Assumptions!E75</f>
        <v/>
      </c>
      <c r="F7" s="52">
        <f>Assumptions!F70*Assumptions!F75</f>
        <v/>
      </c>
      <c r="G7" s="52">
        <f>Assumptions!G70*Assumptions!G75</f>
        <v/>
      </c>
      <c r="H7" s="52">
        <f>Assumptions!H70*Assumptions!H75</f>
        <v/>
      </c>
      <c r="I7" s="52">
        <f>Assumptions!I70*Assumptions!I75</f>
        <v/>
      </c>
      <c r="J7" s="52">
        <f>Assumptions!J70*Assumptions!J75</f>
        <v/>
      </c>
      <c r="K7" s="52">
        <f>Assumptions!K70*Assumptions!K75</f>
        <v/>
      </c>
      <c r="L7" s="52">
        <f>Assumptions!L70*Assumptions!L75</f>
        <v/>
      </c>
      <c r="M7" s="52">
        <f>Assumptions!M70*Assumptions!M75</f>
        <v/>
      </c>
    </row>
    <row r="8">
      <c r="B8" s="47" t="inlineStr">
        <is>
          <t>Revenue (total)</t>
        </is>
      </c>
      <c r="D8" s="48">
        <f>D6+D7</f>
        <v/>
      </c>
      <c r="E8" s="48">
        <f>E6+E7</f>
        <v/>
      </c>
      <c r="F8" s="48">
        <f>F6+F7</f>
        <v/>
      </c>
      <c r="G8" s="48">
        <f>G6+G7</f>
        <v/>
      </c>
      <c r="H8" s="48">
        <f>H6+H7</f>
        <v/>
      </c>
      <c r="I8" s="48">
        <f>I6+I7</f>
        <v/>
      </c>
      <c r="J8" s="48">
        <f>J6+J7</f>
        <v/>
      </c>
      <c r="K8" s="48">
        <f>K6+K7</f>
        <v/>
      </c>
      <c r="L8" s="48">
        <f>L6+L7</f>
        <v/>
      </c>
      <c r="M8" s="48">
        <f>M6+M7</f>
        <v/>
      </c>
    </row>
    <row r="9">
      <c r="B9" s="17" t="inlineStr">
        <is>
          <t>Cash COGS (by formfactor)</t>
        </is>
      </c>
      <c r="D9" s="34">
        <f>-(Assumptions!D69*Assumptions!D74+Assumptions!D70*Assumptions!D77)</f>
        <v/>
      </c>
      <c r="E9" s="34">
        <f>-(Assumptions!E69*Assumptions!E74+Assumptions!E70*Assumptions!E77)</f>
        <v/>
      </c>
      <c r="F9" s="34">
        <f>-(Assumptions!F69*Assumptions!F74+Assumptions!F70*Assumptions!F77)</f>
        <v/>
      </c>
      <c r="G9" s="34">
        <f>-(Assumptions!G69*Assumptions!G74+Assumptions!G70*Assumptions!G77)</f>
        <v/>
      </c>
      <c r="H9" s="34">
        <f>-(Assumptions!H69*Assumptions!H74+Assumptions!H70*Assumptions!H77)</f>
        <v/>
      </c>
      <c r="I9" s="34">
        <f>-(Assumptions!I69*Assumptions!I74+Assumptions!I70*Assumptions!I77)</f>
        <v/>
      </c>
      <c r="J9" s="34">
        <f>-(Assumptions!J69*Assumptions!J74+Assumptions!J70*Assumptions!J77)</f>
        <v/>
      </c>
      <c r="K9" s="34">
        <f>-(Assumptions!K69*Assumptions!K74+Assumptions!K70*Assumptions!K77)</f>
        <v/>
      </c>
      <c r="L9" s="34">
        <f>-(Assumptions!L69*Assumptions!L74+Assumptions!L70*Assumptions!L77)</f>
        <v/>
      </c>
      <c r="M9" s="34">
        <f>-(Assumptions!M69*Assumptions!M74+Assumptions!M70*Assumptions!M77)</f>
        <v/>
      </c>
    </row>
    <row r="10">
      <c r="B10" s="11" t="inlineStr">
        <is>
          <t>COST &amp; EBIT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B11" s="14" t="inlineStr">
        <is>
          <t>($mm)</t>
        </is>
      </c>
      <c r="C11" s="15" t="n"/>
      <c r="D11" s="16" t="inlineStr">
        <is>
          <t>2026</t>
        </is>
      </c>
      <c r="E11" s="16" t="inlineStr">
        <is>
          <t>2027</t>
        </is>
      </c>
      <c r="F11" s="16" t="inlineStr">
        <is>
          <t>2028</t>
        </is>
      </c>
      <c r="G11" s="16" t="inlineStr">
        <is>
          <t>2029</t>
        </is>
      </c>
      <c r="H11" s="16" t="inlineStr">
        <is>
          <t>2030</t>
        </is>
      </c>
      <c r="I11" s="16" t="inlineStr">
        <is>
          <t>2031</t>
        </is>
      </c>
      <c r="J11" s="16" t="inlineStr">
        <is>
          <t>2032</t>
        </is>
      </c>
      <c r="K11" s="16" t="inlineStr">
        <is>
          <t>2033</t>
        </is>
      </c>
      <c r="L11" s="16" t="inlineStr">
        <is>
          <t>2034</t>
        </is>
      </c>
      <c r="M11" s="16" t="inlineStr">
        <is>
          <t>2035</t>
        </is>
      </c>
    </row>
    <row r="12">
      <c r="B12" s="47" t="inlineStr">
        <is>
          <t>Gross profit (pre-AMPC)</t>
        </is>
      </c>
      <c r="D12" s="48">
        <f>D8+D9</f>
        <v/>
      </c>
      <c r="E12" s="48">
        <f>E8+E9</f>
        <v/>
      </c>
      <c r="F12" s="48">
        <f>F8+F9</f>
        <v/>
      </c>
      <c r="G12" s="48">
        <f>G8+G9</f>
        <v/>
      </c>
      <c r="H12" s="48">
        <f>H8+H9</f>
        <v/>
      </c>
      <c r="I12" s="48">
        <f>I8+I9</f>
        <v/>
      </c>
      <c r="J12" s="48">
        <f>J8+J9</f>
        <v/>
      </c>
      <c r="K12" s="48">
        <f>K8+K9</f>
        <v/>
      </c>
      <c r="L12" s="48">
        <f>L8+L9</f>
        <v/>
      </c>
      <c r="M12" s="48">
        <f>M8+M9</f>
        <v/>
      </c>
    </row>
    <row r="13">
      <c r="B13" s="17" t="inlineStr">
        <is>
          <t>SG&amp;A</t>
        </is>
      </c>
      <c r="D13" s="34">
        <f>-D8*Assumptions!$C$81</f>
        <v/>
      </c>
      <c r="E13" s="34">
        <f>-E8*Assumptions!$C$81</f>
        <v/>
      </c>
      <c r="F13" s="34">
        <f>-F8*Assumptions!$C$81</f>
        <v/>
      </c>
      <c r="G13" s="34">
        <f>-G8*Assumptions!$C$81</f>
        <v/>
      </c>
      <c r="H13" s="34">
        <f>-H8*Assumptions!$C$81</f>
        <v/>
      </c>
      <c r="I13" s="34">
        <f>-I8*Assumptions!$C$81</f>
        <v/>
      </c>
      <c r="J13" s="34">
        <f>-J8*Assumptions!$C$81</f>
        <v/>
      </c>
      <c r="K13" s="34">
        <f>-K8*Assumptions!$C$81</f>
        <v/>
      </c>
      <c r="L13" s="34">
        <f>-L8*Assumptions!$C$81</f>
        <v/>
      </c>
      <c r="M13" s="34">
        <f>-M8*Assumptions!$C$81</f>
        <v/>
      </c>
    </row>
    <row r="14">
      <c r="B14" s="17" t="inlineStr">
        <is>
          <t>Gross PP&amp;E (cum.)</t>
        </is>
      </c>
      <c r="D14" s="34">
        <f>Assumptions!D78</f>
        <v/>
      </c>
      <c r="E14" s="34">
        <f>D14+Assumptions!E78</f>
        <v/>
      </c>
      <c r="F14" s="34">
        <f>E14+Assumptions!F78</f>
        <v/>
      </c>
      <c r="G14" s="34">
        <f>F14+Assumptions!G78</f>
        <v/>
      </c>
      <c r="H14" s="34">
        <f>G14+Assumptions!H78</f>
        <v/>
      </c>
      <c r="I14" s="34">
        <f>H14+Assumptions!I78</f>
        <v/>
      </c>
      <c r="J14" s="34">
        <f>I14+Assumptions!J78</f>
        <v/>
      </c>
      <c r="K14" s="34">
        <f>J14+Assumptions!K78</f>
        <v/>
      </c>
      <c r="L14" s="34">
        <f>K14+Assumptions!L78</f>
        <v/>
      </c>
      <c r="M14" s="34">
        <f>L14+Assumptions!M78</f>
        <v/>
      </c>
    </row>
    <row r="15">
      <c r="B15" s="17" t="inlineStr">
        <is>
          <t>D&amp;A</t>
        </is>
      </c>
      <c r="D15" s="34">
        <f>-D14*Assumptions!$C$82</f>
        <v/>
      </c>
      <c r="E15" s="34">
        <f>-E14*Assumptions!$C$82</f>
        <v/>
      </c>
      <c r="F15" s="34">
        <f>-F14*Assumptions!$C$82</f>
        <v/>
      </c>
      <c r="G15" s="34">
        <f>-G14*Assumptions!$C$82</f>
        <v/>
      </c>
      <c r="H15" s="34">
        <f>-H14*Assumptions!$C$82</f>
        <v/>
      </c>
      <c r="I15" s="34">
        <f>-I14*Assumptions!$C$82</f>
        <v/>
      </c>
      <c r="J15" s="34">
        <f>-J14*Assumptions!$C$82</f>
        <v/>
      </c>
      <c r="K15" s="34">
        <f>-K14*Assumptions!$C$82</f>
        <v/>
      </c>
      <c r="L15" s="34">
        <f>-L14*Assumptions!$C$82</f>
        <v/>
      </c>
      <c r="M15" s="34">
        <f>-M14*Assumptions!$C$82</f>
        <v/>
      </c>
    </row>
    <row r="16">
      <c r="B16" s="47" t="inlineStr">
        <is>
          <t>EBIT (pre-AMPC)</t>
        </is>
      </c>
      <c r="D16" s="48">
        <f>D12+D13+D15</f>
        <v/>
      </c>
      <c r="E16" s="48">
        <f>E12+E13+E15</f>
        <v/>
      </c>
      <c r="F16" s="48">
        <f>F12+F13+F15</f>
        <v/>
      </c>
      <c r="G16" s="48">
        <f>G12+G13+G15</f>
        <v/>
      </c>
      <c r="H16" s="48">
        <f>H12+H13+H15</f>
        <v/>
      </c>
      <c r="I16" s="48">
        <f>I12+I13+I15</f>
        <v/>
      </c>
      <c r="J16" s="48">
        <f>J12+J13+J15</f>
        <v/>
      </c>
      <c r="K16" s="48">
        <f>K12+K13+K15</f>
        <v/>
      </c>
      <c r="L16" s="48">
        <f>L12+L13+L15</f>
        <v/>
      </c>
      <c r="M16" s="48">
        <f>M12+M13+M15</f>
        <v/>
      </c>
    </row>
    <row r="17">
      <c r="B17" s="17" t="inlineStr">
        <is>
          <t xml:space="preserve">  margin pre-AMPC</t>
        </is>
      </c>
      <c r="D17" s="49">
        <f>IF(D8=0,0,D16/D8)</f>
        <v/>
      </c>
      <c r="E17" s="49">
        <f>IF(E8=0,0,E16/E8)</f>
        <v/>
      </c>
      <c r="F17" s="49">
        <f>IF(F8=0,0,F16/F8)</f>
        <v/>
      </c>
      <c r="G17" s="49">
        <f>IF(G8=0,0,G16/G8)</f>
        <v/>
      </c>
      <c r="H17" s="49">
        <f>IF(H8=0,0,H16/H8)</f>
        <v/>
      </c>
      <c r="I17" s="49">
        <f>IF(I8=0,0,I16/I8)</f>
        <v/>
      </c>
      <c r="J17" s="49">
        <f>IF(J8=0,0,J16/J8)</f>
        <v/>
      </c>
      <c r="K17" s="49">
        <f>IF(K8=0,0,K16/K8)</f>
        <v/>
      </c>
      <c r="L17" s="49">
        <f>IF(L8=0,0,L16/L8)</f>
        <v/>
      </c>
      <c r="M17" s="49">
        <f>IF(M8=0,0,M16/M8)</f>
        <v/>
      </c>
    </row>
    <row r="18">
      <c r="B18" s="17" t="inlineStr">
        <is>
          <t>Plus: AMPC 45X</t>
        </is>
      </c>
      <c r="D18" s="34">
        <f>(Assumptions!D69+Assumptions!D70)*Assumptions!D8</f>
        <v/>
      </c>
      <c r="E18" s="34">
        <f>(Assumptions!E69+Assumptions!E70)*Assumptions!E8</f>
        <v/>
      </c>
      <c r="F18" s="34">
        <f>(Assumptions!F69+Assumptions!F70)*Assumptions!F8</f>
        <v/>
      </c>
      <c r="G18" s="34">
        <f>(Assumptions!G69+Assumptions!G70)*Assumptions!G8</f>
        <v/>
      </c>
      <c r="H18" s="34">
        <f>(Assumptions!H69+Assumptions!H70)*Assumptions!H8</f>
        <v/>
      </c>
      <c r="I18" s="34">
        <f>(Assumptions!I69+Assumptions!I70)*Assumptions!I8</f>
        <v/>
      </c>
      <c r="J18" s="34">
        <f>(Assumptions!J69+Assumptions!J70)*Assumptions!J8</f>
        <v/>
      </c>
      <c r="K18" s="34">
        <f>(Assumptions!K69+Assumptions!K70)*Assumptions!K8</f>
        <v/>
      </c>
      <c r="L18" s="34">
        <f>(Assumptions!L69+Assumptions!L70)*Assumptions!L8</f>
        <v/>
      </c>
      <c r="M18" s="34">
        <f>(Assumptions!M69+Assumptions!M70)*Assumptions!M8</f>
        <v/>
      </c>
    </row>
    <row r="19">
      <c r="B19" s="47" t="inlineStr">
        <is>
          <t>EBIT (incl. AMPC)</t>
        </is>
      </c>
      <c r="D19" s="48">
        <f>D16+D18</f>
        <v/>
      </c>
      <c r="E19" s="48">
        <f>E16+E18</f>
        <v/>
      </c>
      <c r="F19" s="48">
        <f>F16+F18</f>
        <v/>
      </c>
      <c r="G19" s="48">
        <f>G16+G18</f>
        <v/>
      </c>
      <c r="H19" s="48">
        <f>H16+H18</f>
        <v/>
      </c>
      <c r="I19" s="48">
        <f>I16+I18</f>
        <v/>
      </c>
      <c r="J19" s="48">
        <f>J16+J18</f>
        <v/>
      </c>
      <c r="K19" s="48">
        <f>K16+K18</f>
        <v/>
      </c>
      <c r="L19" s="48">
        <f>L16+L18</f>
        <v/>
      </c>
      <c r="M19" s="48">
        <f>M16+M18</f>
        <v/>
      </c>
    </row>
    <row r="21">
      <c r="B21" s="11" t="inlineStr">
        <is>
          <t>UNLEVERED FCFF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B22" s="14" t="inlineStr">
        <is>
          <t>($mm)</t>
        </is>
      </c>
      <c r="C22" s="15" t="n"/>
      <c r="D22" s="16" t="inlineStr">
        <is>
          <t>2026</t>
        </is>
      </c>
      <c r="E22" s="16" t="inlineStr">
        <is>
          <t>2027</t>
        </is>
      </c>
      <c r="F22" s="16" t="inlineStr">
        <is>
          <t>2028</t>
        </is>
      </c>
      <c r="G22" s="16" t="inlineStr">
        <is>
          <t>2029</t>
        </is>
      </c>
      <c r="H22" s="16" t="inlineStr">
        <is>
          <t>2030</t>
        </is>
      </c>
      <c r="I22" s="16" t="inlineStr">
        <is>
          <t>2031</t>
        </is>
      </c>
      <c r="J22" s="16" t="inlineStr">
        <is>
          <t>2032</t>
        </is>
      </c>
      <c r="K22" s="16" t="inlineStr">
        <is>
          <t>2033</t>
        </is>
      </c>
      <c r="L22" s="16" t="inlineStr">
        <is>
          <t>2034</t>
        </is>
      </c>
      <c r="M22" s="16" t="inlineStr">
        <is>
          <t>2035</t>
        </is>
      </c>
    </row>
    <row r="23">
      <c r="B23" s="17" t="inlineStr">
        <is>
          <t>과세소득 pre-NOL</t>
        </is>
      </c>
      <c r="D23" s="34">
        <f>MAX(0,D16)</f>
        <v/>
      </c>
      <c r="E23" s="34">
        <f>MAX(0,E16)</f>
        <v/>
      </c>
      <c r="F23" s="34">
        <f>MAX(0,F16)</f>
        <v/>
      </c>
      <c r="G23" s="34">
        <f>MAX(0,G16)</f>
        <v/>
      </c>
      <c r="H23" s="34">
        <f>MAX(0,H16)</f>
        <v/>
      </c>
      <c r="I23" s="34">
        <f>MAX(0,I16)</f>
        <v/>
      </c>
      <c r="J23" s="34">
        <f>MAX(0,J16)</f>
        <v/>
      </c>
      <c r="K23" s="34">
        <f>MAX(0,K16)</f>
        <v/>
      </c>
      <c r="L23" s="34">
        <f>MAX(0,L16)</f>
        <v/>
      </c>
      <c r="M23" s="34">
        <f>MAX(0,M16)</f>
        <v/>
      </c>
    </row>
    <row r="24">
      <c r="B24" s="17" t="inlineStr">
        <is>
          <t>NOL 기초잔액</t>
        </is>
      </c>
      <c r="D24" s="34">
        <f>Assumptions!$C$88</f>
        <v/>
      </c>
      <c r="E24" s="34">
        <f>D27</f>
        <v/>
      </c>
      <c r="F24" s="34">
        <f>E27</f>
        <v/>
      </c>
      <c r="G24" s="34">
        <f>F27</f>
        <v/>
      </c>
      <c r="H24" s="34">
        <f>G27</f>
        <v/>
      </c>
      <c r="I24" s="34">
        <f>H27</f>
        <v/>
      </c>
      <c r="J24" s="34">
        <f>I27</f>
        <v/>
      </c>
      <c r="K24" s="34">
        <f>J27</f>
        <v/>
      </c>
      <c r="L24" s="34">
        <f>K27</f>
        <v/>
      </c>
      <c r="M24" s="34">
        <f>L27</f>
        <v/>
      </c>
    </row>
    <row r="25">
      <c r="B25" s="17" t="inlineStr">
        <is>
          <t>NOL 사용 (80% 한도)</t>
        </is>
      </c>
      <c r="D25" s="34">
        <f>MIN(D24,D23*Assumptions!$C$89)</f>
        <v/>
      </c>
      <c r="E25" s="34">
        <f>MIN(E24,E23*Assumptions!$C$89)</f>
        <v/>
      </c>
      <c r="F25" s="34">
        <f>MIN(F24,F23*Assumptions!$C$89)</f>
        <v/>
      </c>
      <c r="G25" s="34">
        <f>MIN(G24,G23*Assumptions!$C$89)</f>
        <v/>
      </c>
      <c r="H25" s="34">
        <f>MIN(H24,H23*Assumptions!$C$89)</f>
        <v/>
      </c>
      <c r="I25" s="34">
        <f>MIN(I24,I23*Assumptions!$C$89)</f>
        <v/>
      </c>
      <c r="J25" s="34">
        <f>MIN(J24,J23*Assumptions!$C$89)</f>
        <v/>
      </c>
      <c r="K25" s="34">
        <f>MIN(K24,K23*Assumptions!$C$89)</f>
        <v/>
      </c>
      <c r="L25" s="34">
        <f>MIN(L24,L23*Assumptions!$C$89)</f>
        <v/>
      </c>
      <c r="M25" s="34">
        <f>MIN(M24,M23*Assumptions!$C$89)</f>
        <v/>
      </c>
    </row>
    <row r="26">
      <c r="B26" s="17" t="inlineStr">
        <is>
          <t>NOL 추가 (당기손실)</t>
        </is>
      </c>
      <c r="D26" s="34">
        <f>MAX(0,-D16)</f>
        <v/>
      </c>
      <c r="E26" s="34">
        <f>MAX(0,-E16)</f>
        <v/>
      </c>
      <c r="F26" s="34">
        <f>MAX(0,-F16)</f>
        <v/>
      </c>
      <c r="G26" s="34">
        <f>MAX(0,-G16)</f>
        <v/>
      </c>
      <c r="H26" s="34">
        <f>MAX(0,-H16)</f>
        <v/>
      </c>
      <c r="I26" s="34">
        <f>MAX(0,-I16)</f>
        <v/>
      </c>
      <c r="J26" s="34">
        <f>MAX(0,-J16)</f>
        <v/>
      </c>
      <c r="K26" s="34">
        <f>MAX(0,-K16)</f>
        <v/>
      </c>
      <c r="L26" s="34">
        <f>MAX(0,-L16)</f>
        <v/>
      </c>
      <c r="M26" s="34">
        <f>MAX(0,-M16)</f>
        <v/>
      </c>
    </row>
    <row r="27">
      <c r="B27" s="17" t="inlineStr">
        <is>
          <t>NOL 기말잔액</t>
        </is>
      </c>
      <c r="D27" s="34">
        <f>D24-D25+D26</f>
        <v/>
      </c>
      <c r="E27" s="34">
        <f>E24-E25+E26</f>
        <v/>
      </c>
      <c r="F27" s="34">
        <f>F24-F25+F26</f>
        <v/>
      </c>
      <c r="G27" s="34">
        <f>G24-G25+G26</f>
        <v/>
      </c>
      <c r="H27" s="34">
        <f>H24-H25+H26</f>
        <v/>
      </c>
      <c r="I27" s="34">
        <f>I24-I25+I26</f>
        <v/>
      </c>
      <c r="J27" s="34">
        <f>J24-J25+J26</f>
        <v/>
      </c>
      <c r="K27" s="34">
        <f>K24-K25+K26</f>
        <v/>
      </c>
      <c r="L27" s="34">
        <f>L24-L25+L26</f>
        <v/>
      </c>
      <c r="M27" s="34">
        <f>M24-M25+M26</f>
        <v/>
      </c>
    </row>
    <row r="28">
      <c r="B28" s="17" t="inlineStr">
        <is>
          <t>과세소득 post-NOL</t>
        </is>
      </c>
      <c r="D28" s="34">
        <f>D23-D25</f>
        <v/>
      </c>
      <c r="E28" s="34">
        <f>E23-E25</f>
        <v/>
      </c>
      <c r="F28" s="34">
        <f>F23-F25</f>
        <v/>
      </c>
      <c r="G28" s="34">
        <f>G23-G25</f>
        <v/>
      </c>
      <c r="H28" s="34">
        <f>H23-H25</f>
        <v/>
      </c>
      <c r="I28" s="34">
        <f>I23-I25</f>
        <v/>
      </c>
      <c r="J28" s="34">
        <f>J23-J25</f>
        <v/>
      </c>
      <c r="K28" s="34">
        <f>K23-K25</f>
        <v/>
      </c>
      <c r="L28" s="34">
        <f>L23-L25</f>
        <v/>
      </c>
      <c r="M28" s="34">
        <f>M23-M25</f>
        <v/>
      </c>
    </row>
    <row r="29">
      <c r="B29" s="17" t="inlineStr">
        <is>
          <t>현금세금 (AMPC 비과세)</t>
        </is>
      </c>
      <c r="D29" s="34">
        <f>-D28*Assumptions!$C$86</f>
        <v/>
      </c>
      <c r="E29" s="34">
        <f>-E28*Assumptions!$C$86</f>
        <v/>
      </c>
      <c r="F29" s="34">
        <f>-F28*Assumptions!$C$86</f>
        <v/>
      </c>
      <c r="G29" s="34">
        <f>-G28*Assumptions!$C$86</f>
        <v/>
      </c>
      <c r="H29" s="34">
        <f>-H28*Assumptions!$C$86</f>
        <v/>
      </c>
      <c r="I29" s="34">
        <f>-I28*Assumptions!$C$86</f>
        <v/>
      </c>
      <c r="J29" s="34">
        <f>-J28*Assumptions!$C$86</f>
        <v/>
      </c>
      <c r="K29" s="34">
        <f>-K28*Assumptions!$C$86</f>
        <v/>
      </c>
      <c r="L29" s="34">
        <f>-L28*Assumptions!$C$86</f>
        <v/>
      </c>
      <c r="M29" s="34">
        <f>-M28*Assumptions!$C$86</f>
        <v/>
      </c>
    </row>
    <row r="30">
      <c r="B30" s="47" t="inlineStr">
        <is>
          <t>NOPAT (NOL 반영)</t>
        </is>
      </c>
      <c r="D30" s="48">
        <f>D19+D29</f>
        <v/>
      </c>
      <c r="E30" s="48">
        <f>E19+E29</f>
        <v/>
      </c>
      <c r="F30" s="48">
        <f>F19+F29</f>
        <v/>
      </c>
      <c r="G30" s="48">
        <f>G19+G29</f>
        <v/>
      </c>
      <c r="H30" s="48">
        <f>H19+H29</f>
        <v/>
      </c>
      <c r="I30" s="48">
        <f>I19+I29</f>
        <v/>
      </c>
      <c r="J30" s="48">
        <f>J19+J29</f>
        <v/>
      </c>
      <c r="K30" s="48">
        <f>K19+K29</f>
        <v/>
      </c>
      <c r="L30" s="48">
        <f>L19+L29</f>
        <v/>
      </c>
      <c r="M30" s="48">
        <f>M19+M29</f>
        <v/>
      </c>
    </row>
    <row r="31">
      <c r="B31" s="17" t="inlineStr">
        <is>
          <t>Plus: D&amp;A</t>
        </is>
      </c>
      <c r="D31" s="34">
        <f>-D15</f>
        <v/>
      </c>
      <c r="E31" s="34">
        <f>-E15</f>
        <v/>
      </c>
      <c r="F31" s="34">
        <f>-F15</f>
        <v/>
      </c>
      <c r="G31" s="34">
        <f>-G15</f>
        <v/>
      </c>
      <c r="H31" s="34">
        <f>-H15</f>
        <v/>
      </c>
      <c r="I31" s="34">
        <f>-I15</f>
        <v/>
      </c>
      <c r="J31" s="34">
        <f>-J15</f>
        <v/>
      </c>
      <c r="K31" s="34">
        <f>-K15</f>
        <v/>
      </c>
      <c r="L31" s="34">
        <f>-L15</f>
        <v/>
      </c>
      <c r="M31" s="34">
        <f>-M15</f>
        <v/>
      </c>
    </row>
    <row r="32">
      <c r="B32" s="17" t="inlineStr">
        <is>
          <t>Less: maint capex</t>
        </is>
      </c>
      <c r="D32" s="34">
        <f>-D8*Assumptions!$C$83</f>
        <v/>
      </c>
      <c r="E32" s="34">
        <f>-E8*Assumptions!$C$83</f>
        <v/>
      </c>
      <c r="F32" s="34">
        <f>-F8*Assumptions!$C$83</f>
        <v/>
      </c>
      <c r="G32" s="34">
        <f>-G8*Assumptions!$C$83</f>
        <v/>
      </c>
      <c r="H32" s="34">
        <f>-H8*Assumptions!$C$83</f>
        <v/>
      </c>
      <c r="I32" s="34">
        <f>-I8*Assumptions!$C$83</f>
        <v/>
      </c>
      <c r="J32" s="34">
        <f>-J8*Assumptions!$C$83</f>
        <v/>
      </c>
      <c r="K32" s="34">
        <f>-K8*Assumptions!$C$83</f>
        <v/>
      </c>
      <c r="L32" s="34">
        <f>-L8*Assumptions!$C$83</f>
        <v/>
      </c>
      <c r="M32" s="34">
        <f>-M8*Assumptions!$C$83</f>
        <v/>
      </c>
    </row>
    <row r="33">
      <c r="B33" s="17" t="inlineStr">
        <is>
          <t>Less: growth capex</t>
        </is>
      </c>
      <c r="D33" s="34">
        <f>-Assumptions!D78</f>
        <v/>
      </c>
      <c r="E33" s="34">
        <f>-Assumptions!E78</f>
        <v/>
      </c>
      <c r="F33" s="34">
        <f>-Assumptions!F78</f>
        <v/>
      </c>
      <c r="G33" s="34">
        <f>-Assumptions!G78</f>
        <v/>
      </c>
      <c r="H33" s="34">
        <f>-Assumptions!H78</f>
        <v/>
      </c>
      <c r="I33" s="34">
        <f>-Assumptions!I78</f>
        <v/>
      </c>
      <c r="J33" s="34">
        <f>-Assumptions!J78</f>
        <v/>
      </c>
      <c r="K33" s="34">
        <f>-Assumptions!K78</f>
        <v/>
      </c>
      <c r="L33" s="34">
        <f>-Assumptions!L78</f>
        <v/>
      </c>
      <c r="M33" s="34">
        <f>-Assumptions!M78</f>
        <v/>
      </c>
    </row>
    <row r="34">
      <c r="B34" s="17" t="inlineStr">
        <is>
          <t>Plus: CapEx 그랜트 (10%)</t>
        </is>
      </c>
      <c r="D34" s="34">
        <f>Assumptions!D78*Assumptions!$C$84</f>
        <v/>
      </c>
      <c r="E34" s="34">
        <f>Assumptions!E78*Assumptions!$C$84</f>
        <v/>
      </c>
      <c r="F34" s="34">
        <f>Assumptions!F78*Assumptions!$C$84</f>
        <v/>
      </c>
      <c r="G34" s="34">
        <f>Assumptions!G78*Assumptions!$C$84</f>
        <v/>
      </c>
      <c r="H34" s="34">
        <f>Assumptions!H78*Assumptions!$C$84</f>
        <v/>
      </c>
      <c r="I34" s="34">
        <f>Assumptions!I78*Assumptions!$C$84</f>
        <v/>
      </c>
      <c r="J34" s="34">
        <f>Assumptions!J78*Assumptions!$C$84</f>
        <v/>
      </c>
      <c r="K34" s="34">
        <f>Assumptions!K78*Assumptions!$C$84</f>
        <v/>
      </c>
      <c r="L34" s="34">
        <f>Assumptions!L78*Assumptions!$C$84</f>
        <v/>
      </c>
      <c r="M34" s="34">
        <f>Assumptions!M78*Assumptions!$C$84</f>
        <v/>
      </c>
    </row>
    <row r="35">
      <c r="B35" s="17" t="inlineStr">
        <is>
          <t>NWC level</t>
        </is>
      </c>
      <c r="D35" s="34">
        <f>D8*Assumptions!$C$85</f>
        <v/>
      </c>
      <c r="E35" s="34">
        <f>E8*Assumptions!$C$85</f>
        <v/>
      </c>
      <c r="F35" s="34">
        <f>F8*Assumptions!$C$85</f>
        <v/>
      </c>
      <c r="G35" s="34">
        <f>G8*Assumptions!$C$85</f>
        <v/>
      </c>
      <c r="H35" s="34">
        <f>H8*Assumptions!$C$85</f>
        <v/>
      </c>
      <c r="I35" s="34">
        <f>I8*Assumptions!$C$85</f>
        <v/>
      </c>
      <c r="J35" s="34">
        <f>J8*Assumptions!$C$85</f>
        <v/>
      </c>
      <c r="K35" s="34">
        <f>K8*Assumptions!$C$85</f>
        <v/>
      </c>
      <c r="L35" s="34">
        <f>L8*Assumptions!$C$85</f>
        <v/>
      </c>
      <c r="M35" s="34">
        <f>M8*Assumptions!$C$85</f>
        <v/>
      </c>
    </row>
    <row r="36">
      <c r="B36" s="17" t="inlineStr">
        <is>
          <t>Less: ΔNWC</t>
        </is>
      </c>
      <c r="D36" s="34">
        <f>-D35</f>
        <v/>
      </c>
      <c r="E36" s="34">
        <f>-(E35-D35)</f>
        <v/>
      </c>
      <c r="F36" s="34">
        <f>-(F35-E35)</f>
        <v/>
      </c>
      <c r="G36" s="34">
        <f>-(G35-F35)</f>
        <v/>
      </c>
      <c r="H36" s="34">
        <f>-(H35-G35)</f>
        <v/>
      </c>
      <c r="I36" s="34">
        <f>-(I35-H35)</f>
        <v/>
      </c>
      <c r="J36" s="34">
        <f>-(J35-I35)</f>
        <v/>
      </c>
      <c r="K36" s="34">
        <f>-(K35-J35)</f>
        <v/>
      </c>
      <c r="L36" s="34">
        <f>-(L35-K35)</f>
        <v/>
      </c>
      <c r="M36" s="34">
        <f>-(M35-L35)</f>
        <v/>
      </c>
    </row>
    <row r="37">
      <c r="B37" s="50" t="inlineStr">
        <is>
          <t>Unlevered FCFF</t>
        </is>
      </c>
      <c r="D37" s="51">
        <f>D30+D31+D32+D33+D34+D36</f>
        <v/>
      </c>
      <c r="E37" s="51">
        <f>E30+E31+E32+E33+E34+E36</f>
        <v/>
      </c>
      <c r="F37" s="51">
        <f>F30+F31+F32+F33+F34+F36</f>
        <v/>
      </c>
      <c r="G37" s="51">
        <f>G30+G31+G32+G33+G34+G36</f>
        <v/>
      </c>
      <c r="H37" s="51">
        <f>H30+H31+H32+H33+H34+H36</f>
        <v/>
      </c>
      <c r="I37" s="51">
        <f>I30+I31+I32+I33+I34+I36</f>
        <v/>
      </c>
      <c r="J37" s="51">
        <f>J30+J31+J32+J33+J34+J36</f>
        <v/>
      </c>
      <c r="K37" s="51">
        <f>K30+K31+K32+K33+K34+K36</f>
        <v/>
      </c>
      <c r="L37" s="51">
        <f>L30+L31+L32+L33+L34+L36</f>
        <v/>
      </c>
      <c r="M37" s="51">
        <f>M30+M31+M32+M33+M34+M36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9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</cols>
  <sheetData>
    <row r="1">
      <c r="B1" s="1" t="inlineStr">
        <is>
          <t>CONSOLIDATED — SKBA + SKOT → FCFF → DCF</t>
        </is>
      </c>
    </row>
    <row r="2">
      <c r="B2" s="2" t="inlineStr">
        <is>
          <t>라인 단위 합산 · $mm · FCFF unlevered · AMPC 옵션A · SKOT placeholder 입력 시 합산</t>
        </is>
      </c>
    </row>
    <row r="4">
      <c r="B4" s="39" t="inlineStr">
        <is>
          <t>REVENUE — by plant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</row>
    <row r="5">
      <c r="B5" s="14" t="inlineStr">
        <is>
          <t>($mm)</t>
        </is>
      </c>
      <c r="C5" s="15" t="n"/>
      <c r="D5" s="16" t="inlineStr">
        <is>
          <t>2026</t>
        </is>
      </c>
      <c r="E5" s="16" t="inlineStr">
        <is>
          <t>2027</t>
        </is>
      </c>
      <c r="F5" s="16" t="inlineStr">
        <is>
          <t>2028</t>
        </is>
      </c>
      <c r="G5" s="16" t="inlineStr">
        <is>
          <t>2029</t>
        </is>
      </c>
      <c r="H5" s="16" t="inlineStr">
        <is>
          <t>2030</t>
        </is>
      </c>
      <c r="I5" s="16" t="inlineStr">
        <is>
          <t>2031</t>
        </is>
      </c>
      <c r="J5" s="16" t="inlineStr">
        <is>
          <t>2032</t>
        </is>
      </c>
      <c r="K5" s="16" t="inlineStr">
        <is>
          <t>2033</t>
        </is>
      </c>
      <c r="L5" s="16" t="inlineStr">
        <is>
          <t>2034</t>
        </is>
      </c>
      <c r="M5" s="16" t="inlineStr">
        <is>
          <t>2035</t>
        </is>
      </c>
    </row>
    <row r="6">
      <c r="B6" s="53" t="inlineStr">
        <is>
          <t>SKBA revenue (파우치)</t>
        </is>
      </c>
      <c r="D6" s="54">
        <f>SKBA!D8</f>
        <v/>
      </c>
      <c r="E6" s="54">
        <f>SKBA!E8</f>
        <v/>
      </c>
      <c r="F6" s="54">
        <f>SKBA!F8</f>
        <v/>
      </c>
      <c r="G6" s="54">
        <f>SKBA!G8</f>
        <v/>
      </c>
      <c r="H6" s="54">
        <f>SKBA!H8</f>
        <v/>
      </c>
      <c r="I6" s="54">
        <f>SKBA!I8</f>
        <v/>
      </c>
      <c r="J6" s="54">
        <f>SKBA!J8</f>
        <v/>
      </c>
      <c r="K6" s="54">
        <f>SKBA!K8</f>
        <v/>
      </c>
      <c r="L6" s="54">
        <f>SKBA!L8</f>
        <v/>
      </c>
      <c r="M6" s="54">
        <f>SKBA!M8</f>
        <v/>
      </c>
    </row>
    <row r="7">
      <c r="B7" s="55" t="inlineStr">
        <is>
          <t>SKOT revenue (각형+파우치)</t>
        </is>
      </c>
      <c r="D7" s="56">
        <f>SKOT!D8</f>
        <v/>
      </c>
      <c r="E7" s="56">
        <f>SKOT!E8</f>
        <v/>
      </c>
      <c r="F7" s="56">
        <f>SKOT!F8</f>
        <v/>
      </c>
      <c r="G7" s="56">
        <f>SKOT!G8</f>
        <v/>
      </c>
      <c r="H7" s="56">
        <f>SKOT!H8</f>
        <v/>
      </c>
      <c r="I7" s="56">
        <f>SKOT!I8</f>
        <v/>
      </c>
      <c r="J7" s="56">
        <f>SKOT!J8</f>
        <v/>
      </c>
      <c r="K7" s="56">
        <f>SKOT!K8</f>
        <v/>
      </c>
      <c r="L7" s="56">
        <f>SKOT!L8</f>
        <v/>
      </c>
      <c r="M7" s="56">
        <f>SKOT!M8</f>
        <v/>
      </c>
    </row>
    <row r="8">
      <c r="B8" s="47" t="inlineStr">
        <is>
          <t>Total revenue</t>
        </is>
      </c>
      <c r="D8" s="48">
        <f>D6+D7</f>
        <v/>
      </c>
      <c r="E8" s="48">
        <f>E6+E7</f>
        <v/>
      </c>
      <c r="F8" s="48">
        <f>F6+F7</f>
        <v/>
      </c>
      <c r="G8" s="48">
        <f>G6+G7</f>
        <v/>
      </c>
      <c r="H8" s="48">
        <f>H6+H7</f>
        <v/>
      </c>
      <c r="I8" s="48">
        <f>I6+I7</f>
        <v/>
      </c>
      <c r="J8" s="48">
        <f>J6+J7</f>
        <v/>
      </c>
      <c r="K8" s="48">
        <f>K6+K7</f>
        <v/>
      </c>
      <c r="L8" s="48">
        <f>L6+L7</f>
        <v/>
      </c>
      <c r="M8" s="48">
        <f>M6+M7</f>
        <v/>
      </c>
    </row>
    <row r="9">
      <c r="B9" s="17" t="inlineStr">
        <is>
          <t xml:space="preserve">  Total shipped (GWh)</t>
        </is>
      </c>
      <c r="D9" s="46">
        <f>SKBA!D6+Assumptions!D69+Assumptions!D70</f>
        <v/>
      </c>
      <c r="E9" s="46">
        <f>SKBA!E6+Assumptions!E69+Assumptions!E70</f>
        <v/>
      </c>
      <c r="F9" s="46">
        <f>SKBA!F6+Assumptions!F69+Assumptions!F70</f>
        <v/>
      </c>
      <c r="G9" s="46">
        <f>SKBA!G6+Assumptions!G69+Assumptions!G70</f>
        <v/>
      </c>
      <c r="H9" s="46">
        <f>SKBA!H6+Assumptions!H69+Assumptions!H70</f>
        <v/>
      </c>
      <c r="I9" s="46">
        <f>SKBA!I6+Assumptions!I69+Assumptions!I70</f>
        <v/>
      </c>
      <c r="J9" s="46">
        <f>SKBA!J6+Assumptions!J69+Assumptions!J70</f>
        <v/>
      </c>
      <c r="K9" s="46">
        <f>SKBA!K6+Assumptions!K69+Assumptions!K70</f>
        <v/>
      </c>
      <c r="L9" s="46">
        <f>SKBA!L6+Assumptions!L69+Assumptions!L70</f>
        <v/>
      </c>
      <c r="M9" s="46">
        <f>SKBA!M6+Assumptions!M69+Assumptions!M70</f>
        <v/>
      </c>
    </row>
    <row r="11">
      <c r="B11" s="39" t="inlineStr">
        <is>
          <t>EBIT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</row>
    <row r="12">
      <c r="B12" s="14" t="inlineStr">
        <is>
          <t>($mm)</t>
        </is>
      </c>
      <c r="C12" s="15" t="n"/>
      <c r="D12" s="16" t="inlineStr">
        <is>
          <t>2026</t>
        </is>
      </c>
      <c r="E12" s="16" t="inlineStr">
        <is>
          <t>2027</t>
        </is>
      </c>
      <c r="F12" s="16" t="inlineStr">
        <is>
          <t>2028</t>
        </is>
      </c>
      <c r="G12" s="16" t="inlineStr">
        <is>
          <t>2029</t>
        </is>
      </c>
      <c r="H12" s="16" t="inlineStr">
        <is>
          <t>2030</t>
        </is>
      </c>
      <c r="I12" s="16" t="inlineStr">
        <is>
          <t>2031</t>
        </is>
      </c>
      <c r="J12" s="16" t="inlineStr">
        <is>
          <t>2032</t>
        </is>
      </c>
      <c r="K12" s="16" t="inlineStr">
        <is>
          <t>2033</t>
        </is>
      </c>
      <c r="L12" s="16" t="inlineStr">
        <is>
          <t>2034</t>
        </is>
      </c>
      <c r="M12" s="16" t="inlineStr">
        <is>
          <t>2035</t>
        </is>
      </c>
    </row>
    <row r="13">
      <c r="B13" s="17" t="inlineStr">
        <is>
          <t>EBIT pre-AMPC</t>
        </is>
      </c>
      <c r="D13" s="34">
        <f>SKBA!D16+SKOT!D16</f>
        <v/>
      </c>
      <c r="E13" s="34">
        <f>SKBA!E16+SKOT!E16</f>
        <v/>
      </c>
      <c r="F13" s="34">
        <f>SKBA!F16+SKOT!F16</f>
        <v/>
      </c>
      <c r="G13" s="34">
        <f>SKBA!G16+SKOT!G16</f>
        <v/>
      </c>
      <c r="H13" s="34">
        <f>SKBA!H16+SKOT!H16</f>
        <v/>
      </c>
      <c r="I13" s="34">
        <f>SKBA!I16+SKOT!I16</f>
        <v/>
      </c>
      <c r="J13" s="34">
        <f>SKBA!J16+SKOT!J16</f>
        <v/>
      </c>
      <c r="K13" s="34">
        <f>SKBA!K16+SKOT!K16</f>
        <v/>
      </c>
      <c r="L13" s="34">
        <f>SKBA!L16+SKOT!L16</f>
        <v/>
      </c>
      <c r="M13" s="34">
        <f>SKBA!M16+SKOT!M16</f>
        <v/>
      </c>
    </row>
    <row r="14">
      <c r="B14" s="17" t="inlineStr">
        <is>
          <t xml:space="preserve">  margin pre-AMPC</t>
        </is>
      </c>
      <c r="D14" s="49">
        <f>IF(D8=0,0,D13/D8)</f>
        <v/>
      </c>
      <c r="E14" s="49">
        <f>IF(E8=0,0,E13/E8)</f>
        <v/>
      </c>
      <c r="F14" s="49">
        <f>IF(F8=0,0,F13/F8)</f>
        <v/>
      </c>
      <c r="G14" s="49">
        <f>IF(G8=0,0,G13/G8)</f>
        <v/>
      </c>
      <c r="H14" s="49">
        <f>IF(H8=0,0,H13/H8)</f>
        <v/>
      </c>
      <c r="I14" s="49">
        <f>IF(I8=0,0,I13/I8)</f>
        <v/>
      </c>
      <c r="J14" s="49">
        <f>IF(J8=0,0,J13/J8)</f>
        <v/>
      </c>
      <c r="K14" s="49">
        <f>IF(K8=0,0,K13/K8)</f>
        <v/>
      </c>
      <c r="L14" s="49">
        <f>IF(L8=0,0,L13/L8)</f>
        <v/>
      </c>
      <c r="M14" s="49">
        <f>IF(M8=0,0,M13/M8)</f>
        <v/>
      </c>
    </row>
    <row r="15">
      <c r="B15" s="17" t="inlineStr">
        <is>
          <t>Plus: AMPC 45X</t>
        </is>
      </c>
      <c r="D15" s="34">
        <f>SKBA!D18+SKOT!D18</f>
        <v/>
      </c>
      <c r="E15" s="34">
        <f>SKBA!E18+SKOT!E18</f>
        <v/>
      </c>
      <c r="F15" s="34">
        <f>SKBA!F18+SKOT!F18</f>
        <v/>
      </c>
      <c r="G15" s="34">
        <f>SKBA!G18+SKOT!G18</f>
        <v/>
      </c>
      <c r="H15" s="34">
        <f>SKBA!H18+SKOT!H18</f>
        <v/>
      </c>
      <c r="I15" s="34">
        <f>SKBA!I18+SKOT!I18</f>
        <v/>
      </c>
      <c r="J15" s="34">
        <f>SKBA!J18+SKOT!J18</f>
        <v/>
      </c>
      <c r="K15" s="34">
        <f>SKBA!K18+SKOT!K18</f>
        <v/>
      </c>
      <c r="L15" s="34">
        <f>SKBA!L18+SKOT!L18</f>
        <v/>
      </c>
      <c r="M15" s="34">
        <f>SKBA!M18+SKOT!M18</f>
        <v/>
      </c>
    </row>
    <row r="16">
      <c r="B16" s="47" t="inlineStr">
        <is>
          <t>EBIT incl. AMPC</t>
        </is>
      </c>
      <c r="D16" s="48">
        <f>SKBA!D19+SKOT!D19</f>
        <v/>
      </c>
      <c r="E16" s="48">
        <f>SKBA!E19+SKOT!E19</f>
        <v/>
      </c>
      <c r="F16" s="48">
        <f>SKBA!F19+SKOT!F19</f>
        <v/>
      </c>
      <c r="G16" s="48">
        <f>SKBA!G19+SKOT!G19</f>
        <v/>
      </c>
      <c r="H16" s="48">
        <f>SKBA!H19+SKOT!H19</f>
        <v/>
      </c>
      <c r="I16" s="48">
        <f>SKBA!I19+SKOT!I19</f>
        <v/>
      </c>
      <c r="J16" s="48">
        <f>SKBA!J19+SKOT!J19</f>
        <v/>
      </c>
      <c r="K16" s="48">
        <f>SKBA!K19+SKOT!K19</f>
        <v/>
      </c>
      <c r="L16" s="48">
        <f>SKBA!L19+SKOT!L19</f>
        <v/>
      </c>
      <c r="M16" s="48">
        <f>SKBA!M19+SKOT!M19</f>
        <v/>
      </c>
    </row>
    <row r="17">
      <c r="B17" s="17" t="inlineStr">
        <is>
          <t xml:space="preserve">  margin incl. AMPC</t>
        </is>
      </c>
      <c r="D17" s="49">
        <f>IF(D8=0,0,D16/D8)</f>
        <v/>
      </c>
      <c r="E17" s="49">
        <f>IF(E8=0,0,E16/E8)</f>
        <v/>
      </c>
      <c r="F17" s="49">
        <f>IF(F8=0,0,F16/F8)</f>
        <v/>
      </c>
      <c r="G17" s="49">
        <f>IF(G8=0,0,G16/G8)</f>
        <v/>
      </c>
      <c r="H17" s="49">
        <f>IF(H8=0,0,H16/H8)</f>
        <v/>
      </c>
      <c r="I17" s="49">
        <f>IF(I8=0,0,I16/I8)</f>
        <v/>
      </c>
      <c r="J17" s="49">
        <f>IF(J8=0,0,J16/J8)</f>
        <v/>
      </c>
      <c r="K17" s="49">
        <f>IF(K8=0,0,K16/K8)</f>
        <v/>
      </c>
      <c r="L17" s="49">
        <f>IF(L8=0,0,L16/L8)</f>
        <v/>
      </c>
      <c r="M17" s="49">
        <f>IF(M8=0,0,M16/M8)</f>
        <v/>
      </c>
    </row>
    <row r="18">
      <c r="B18" s="17" t="inlineStr">
        <is>
          <t>Plus: D&amp;A</t>
        </is>
      </c>
      <c r="D18" s="34">
        <f>-(SKBA!D15+SKOT!D15)</f>
        <v/>
      </c>
      <c r="E18" s="34">
        <f>-(SKBA!E15+SKOT!E15)</f>
        <v/>
      </c>
      <c r="F18" s="34">
        <f>-(SKBA!F15+SKOT!F15)</f>
        <v/>
      </c>
      <c r="G18" s="34">
        <f>-(SKBA!G15+SKOT!G15)</f>
        <v/>
      </c>
      <c r="H18" s="34">
        <f>-(SKBA!H15+SKOT!H15)</f>
        <v/>
      </c>
      <c r="I18" s="34">
        <f>-(SKBA!I15+SKOT!I15)</f>
        <v/>
      </c>
      <c r="J18" s="34">
        <f>-(SKBA!J15+SKOT!J15)</f>
        <v/>
      </c>
      <c r="K18" s="34">
        <f>-(SKBA!K15+SKOT!K15)</f>
        <v/>
      </c>
      <c r="L18" s="34">
        <f>-(SKBA!L15+SKOT!L15)</f>
        <v/>
      </c>
      <c r="M18" s="34">
        <f>-(SKBA!M15+SKOT!M15)</f>
        <v/>
      </c>
    </row>
    <row r="19">
      <c r="B19" s="47" t="inlineStr">
        <is>
          <t>EBITDA incl. AMPC</t>
        </is>
      </c>
      <c r="D19" s="48">
        <f>D16+D18</f>
        <v/>
      </c>
      <c r="E19" s="48">
        <f>E16+E18</f>
        <v/>
      </c>
      <c r="F19" s="48">
        <f>F16+F18</f>
        <v/>
      </c>
      <c r="G19" s="48">
        <f>G16+G18</f>
        <v/>
      </c>
      <c r="H19" s="48">
        <f>H16+H18</f>
        <v/>
      </c>
      <c r="I19" s="48">
        <f>I16+I18</f>
        <v/>
      </c>
      <c r="J19" s="48">
        <f>J16+J18</f>
        <v/>
      </c>
      <c r="K19" s="48">
        <f>K16+K18</f>
        <v/>
      </c>
      <c r="L19" s="48">
        <f>L16+L18</f>
        <v/>
      </c>
      <c r="M19" s="48">
        <f>M16+M18</f>
        <v/>
      </c>
    </row>
    <row r="20">
      <c r="B20" s="17" t="inlineStr">
        <is>
          <t xml:space="preserve">  EBITDA margin</t>
        </is>
      </c>
      <c r="D20" s="49">
        <f>IF(D8=0,0,D19/D8)</f>
        <v/>
      </c>
      <c r="E20" s="49">
        <f>IF(E8=0,0,E19/E8)</f>
        <v/>
      </c>
      <c r="F20" s="49">
        <f>IF(F8=0,0,F19/F8)</f>
        <v/>
      </c>
      <c r="G20" s="49">
        <f>IF(G8=0,0,G19/G8)</f>
        <v/>
      </c>
      <c r="H20" s="49">
        <f>IF(H8=0,0,H19/H8)</f>
        <v/>
      </c>
      <c r="I20" s="49">
        <f>IF(I8=0,0,I19/I8)</f>
        <v/>
      </c>
      <c r="J20" s="49">
        <f>IF(J8=0,0,J19/J8)</f>
        <v/>
      </c>
      <c r="K20" s="49">
        <f>IF(K8=0,0,K19/K8)</f>
        <v/>
      </c>
      <c r="L20" s="49">
        <f>IF(L8=0,0,L19/L8)</f>
        <v/>
      </c>
      <c r="M20" s="49">
        <f>IF(M8=0,0,M19/M8)</f>
        <v/>
      </c>
    </row>
    <row r="21">
      <c r="B21" s="57" t="inlineStr">
        <is>
          <t>EBITDA ex-AMPC (멀티플용)</t>
        </is>
      </c>
      <c r="D21" s="35">
        <f>D19-D15</f>
        <v/>
      </c>
      <c r="E21" s="35">
        <f>E19-E15</f>
        <v/>
      </c>
      <c r="F21" s="35">
        <f>F19-F15</f>
        <v/>
      </c>
      <c r="G21" s="35">
        <f>G19-G15</f>
        <v/>
      </c>
      <c r="H21" s="35">
        <f>H19-H15</f>
        <v/>
      </c>
      <c r="I21" s="35">
        <f>I19-I15</f>
        <v/>
      </c>
      <c r="J21" s="35">
        <f>J19-J15</f>
        <v/>
      </c>
      <c r="K21" s="35">
        <f>K19-K15</f>
        <v/>
      </c>
      <c r="L21" s="35">
        <f>L19-L15</f>
        <v/>
      </c>
      <c r="M21" s="35">
        <f>M19-M15</f>
        <v/>
      </c>
    </row>
    <row r="22">
      <c r="B22" s="17" t="inlineStr">
        <is>
          <t xml:space="preserve">  EBITDA ex-AMPC margin</t>
        </is>
      </c>
      <c r="D22" s="49">
        <f>IF(D8=0,0,D21/D8)</f>
        <v/>
      </c>
      <c r="E22" s="49">
        <f>IF(E8=0,0,E21/E8)</f>
        <v/>
      </c>
      <c r="F22" s="49">
        <f>IF(F8=0,0,F21/F8)</f>
        <v/>
      </c>
      <c r="G22" s="49">
        <f>IF(G8=0,0,G21/G8)</f>
        <v/>
      </c>
      <c r="H22" s="49">
        <f>IF(H8=0,0,H21/H8)</f>
        <v/>
      </c>
      <c r="I22" s="49">
        <f>IF(I8=0,0,I21/I8)</f>
        <v/>
      </c>
      <c r="J22" s="49">
        <f>IF(J8=0,0,J21/J8)</f>
        <v/>
      </c>
      <c r="K22" s="49">
        <f>IF(K8=0,0,K21/K8)</f>
        <v/>
      </c>
      <c r="L22" s="49">
        <f>IF(L8=0,0,L21/L8)</f>
        <v/>
      </c>
      <c r="M22" s="49">
        <f>IF(M8=0,0,M21/M8)</f>
        <v/>
      </c>
    </row>
    <row r="24">
      <c r="B24" s="39" t="inlineStr">
        <is>
          <t>UNLEVERED FCFF</t>
        </is>
      </c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>
      <c r="B25" s="14" t="inlineStr">
        <is>
          <t>($mm)</t>
        </is>
      </c>
      <c r="C25" s="15" t="n"/>
      <c r="D25" s="16" t="inlineStr">
        <is>
          <t>2026</t>
        </is>
      </c>
      <c r="E25" s="16" t="inlineStr">
        <is>
          <t>2027</t>
        </is>
      </c>
      <c r="F25" s="16" t="inlineStr">
        <is>
          <t>2028</t>
        </is>
      </c>
      <c r="G25" s="16" t="inlineStr">
        <is>
          <t>2029</t>
        </is>
      </c>
      <c r="H25" s="16" t="inlineStr">
        <is>
          <t>2030</t>
        </is>
      </c>
      <c r="I25" s="16" t="inlineStr">
        <is>
          <t>2031</t>
        </is>
      </c>
      <c r="J25" s="16" t="inlineStr">
        <is>
          <t>2032</t>
        </is>
      </c>
      <c r="K25" s="16" t="inlineStr">
        <is>
          <t>2033</t>
        </is>
      </c>
      <c r="L25" s="16" t="inlineStr">
        <is>
          <t>2034</t>
        </is>
      </c>
      <c r="M25" s="16" t="inlineStr">
        <is>
          <t>2035</t>
        </is>
      </c>
    </row>
    <row r="26">
      <c r="B26" s="17" t="inlineStr">
        <is>
          <t>SKBA FCFF</t>
        </is>
      </c>
      <c r="D26" s="58">
        <f>SKBA!D37</f>
        <v/>
      </c>
      <c r="E26" s="58">
        <f>SKBA!E37</f>
        <v/>
      </c>
      <c r="F26" s="58">
        <f>SKBA!F37</f>
        <v/>
      </c>
      <c r="G26" s="58">
        <f>SKBA!G37</f>
        <v/>
      </c>
      <c r="H26" s="58">
        <f>SKBA!H37</f>
        <v/>
      </c>
      <c r="I26" s="58">
        <f>SKBA!I37</f>
        <v/>
      </c>
      <c r="J26" s="58">
        <f>SKBA!J37</f>
        <v/>
      </c>
      <c r="K26" s="58">
        <f>SKBA!K37</f>
        <v/>
      </c>
      <c r="L26" s="58">
        <f>SKBA!L37</f>
        <v/>
      </c>
      <c r="M26" s="58">
        <f>SKBA!M37</f>
        <v/>
      </c>
    </row>
    <row r="27">
      <c r="B27" s="17" t="inlineStr">
        <is>
          <t>SKOT FCFF</t>
        </is>
      </c>
      <c r="D27" s="58">
        <f>SKOT!D37</f>
        <v/>
      </c>
      <c r="E27" s="58">
        <f>SKOT!E37</f>
        <v/>
      </c>
      <c r="F27" s="58">
        <f>SKOT!F37</f>
        <v/>
      </c>
      <c r="G27" s="58">
        <f>SKOT!G37</f>
        <v/>
      </c>
      <c r="H27" s="58">
        <f>SKOT!H37</f>
        <v/>
      </c>
      <c r="I27" s="58">
        <f>SKOT!I37</f>
        <v/>
      </c>
      <c r="J27" s="58">
        <f>SKOT!J37</f>
        <v/>
      </c>
      <c r="K27" s="58">
        <f>SKOT!K37</f>
        <v/>
      </c>
      <c r="L27" s="58">
        <f>SKOT!L37</f>
        <v/>
      </c>
      <c r="M27" s="58">
        <f>SKOT!M37</f>
        <v/>
      </c>
    </row>
    <row r="28">
      <c r="B28" s="50" t="inlineStr">
        <is>
          <t>Consolidated FCFF</t>
        </is>
      </c>
      <c r="D28" s="51">
        <f>D26+D27</f>
        <v/>
      </c>
      <c r="E28" s="51">
        <f>E26+E27</f>
        <v/>
      </c>
      <c r="F28" s="51">
        <f>F26+F27</f>
        <v/>
      </c>
      <c r="G28" s="51">
        <f>G26+G27</f>
        <v/>
      </c>
      <c r="H28" s="51">
        <f>H26+H27</f>
        <v/>
      </c>
      <c r="I28" s="51">
        <f>I26+I27</f>
        <v/>
      </c>
      <c r="J28" s="51">
        <f>J26+J27</f>
        <v/>
      </c>
      <c r="K28" s="51">
        <f>K26+K27</f>
        <v/>
      </c>
      <c r="L28" s="51">
        <f>L26+L27</f>
        <v/>
      </c>
      <c r="M28" s="51">
        <f>M26+M27</f>
        <v/>
      </c>
    </row>
    <row r="30">
      <c r="B30" s="4" t="inlineStr">
        <is>
          <t>FCFE — 공장별 (하이브리드: HoldCo 우산 + ring-fence)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s="14" t="inlineStr">
        <is>
          <t>($mm)</t>
        </is>
      </c>
      <c r="C31" s="15" t="n"/>
      <c r="D31" s="16" t="inlineStr">
        <is>
          <t>2026</t>
        </is>
      </c>
      <c r="E31" s="16" t="inlineStr">
        <is>
          <t>2027</t>
        </is>
      </c>
      <c r="F31" s="16" t="inlineStr">
        <is>
          <t>2028</t>
        </is>
      </c>
      <c r="G31" s="16" t="inlineStr">
        <is>
          <t>2029</t>
        </is>
      </c>
      <c r="H31" s="16" t="inlineStr">
        <is>
          <t>2030</t>
        </is>
      </c>
      <c r="I31" s="16" t="inlineStr">
        <is>
          <t>2031</t>
        </is>
      </c>
      <c r="J31" s="16" t="inlineStr">
        <is>
          <t>2032</t>
        </is>
      </c>
      <c r="K31" s="16" t="inlineStr">
        <is>
          <t>2033</t>
        </is>
      </c>
      <c r="L31" s="16" t="inlineStr">
        <is>
          <t>2034</t>
        </is>
      </c>
      <c r="M31" s="16" t="inlineStr">
        <is>
          <t>2035</t>
        </is>
      </c>
    </row>
    <row r="32">
      <c r="B32" s="17" t="inlineStr">
        <is>
          <t>SKBA · 이자비용 (project debt)</t>
        </is>
      </c>
      <c r="D32" s="34">
        <f>-Assumptions!$C$102*Assumptions!$C$103</f>
        <v/>
      </c>
      <c r="E32" s="34">
        <f>-Assumptions!$C$102*Assumptions!$C$103</f>
        <v/>
      </c>
      <c r="F32" s="34">
        <f>-Assumptions!$C$102*Assumptions!$C$103</f>
        <v/>
      </c>
      <c r="G32" s="34">
        <f>-Assumptions!$C$102*Assumptions!$C$103</f>
        <v/>
      </c>
      <c r="H32" s="34">
        <f>-Assumptions!$C$102*Assumptions!$C$103</f>
        <v/>
      </c>
      <c r="I32" s="34">
        <f>-Assumptions!$C$102*Assumptions!$C$103</f>
        <v/>
      </c>
      <c r="J32" s="34">
        <f>-Assumptions!$C$102*Assumptions!$C$103</f>
        <v/>
      </c>
      <c r="K32" s="34">
        <f>-Assumptions!$C$102*Assumptions!$C$103</f>
        <v/>
      </c>
      <c r="L32" s="34">
        <f>-Assumptions!$C$102*Assumptions!$C$103</f>
        <v/>
      </c>
      <c r="M32" s="34">
        <f>-Assumptions!$C$102*Assumptions!$C$103</f>
        <v/>
      </c>
    </row>
    <row r="33">
      <c r="B33" s="17" t="inlineStr">
        <is>
          <t>SKBA · 이자 tax shield</t>
        </is>
      </c>
      <c r="D33" s="34">
        <f>-D32*Assumptions!$C$86</f>
        <v/>
      </c>
      <c r="E33" s="34">
        <f>-E32*Assumptions!$C$86</f>
        <v/>
      </c>
      <c r="F33" s="34">
        <f>-F32*Assumptions!$C$86</f>
        <v/>
      </c>
      <c r="G33" s="34">
        <f>-G32*Assumptions!$C$86</f>
        <v/>
      </c>
      <c r="H33" s="34">
        <f>-H32*Assumptions!$C$86</f>
        <v/>
      </c>
      <c r="I33" s="34">
        <f>-I32*Assumptions!$C$86</f>
        <v/>
      </c>
      <c r="J33" s="34">
        <f>-J32*Assumptions!$C$86</f>
        <v/>
      </c>
      <c r="K33" s="34">
        <f>-K32*Assumptions!$C$86</f>
        <v/>
      </c>
      <c r="L33" s="34">
        <f>-L32*Assumptions!$C$86</f>
        <v/>
      </c>
      <c r="M33" s="34">
        <f>-M32*Assumptions!$C$86</f>
        <v/>
      </c>
    </row>
    <row r="34">
      <c r="B34" s="17" t="inlineStr">
        <is>
          <t>SKBA · HoldCo 크레딧비용 배분</t>
        </is>
      </c>
      <c r="D34" s="34">
        <f>-Assumptions!$C$104*Assumptions!$C$100</f>
        <v/>
      </c>
      <c r="E34" s="34">
        <f>-Assumptions!$C$104*Assumptions!$C$100</f>
        <v/>
      </c>
      <c r="F34" s="34">
        <f>-Assumptions!$C$104*Assumptions!$C$100</f>
        <v/>
      </c>
      <c r="G34" s="34">
        <f>-Assumptions!$C$104*Assumptions!$C$100</f>
        <v/>
      </c>
      <c r="H34" s="34">
        <f>-Assumptions!$C$104*Assumptions!$C$100</f>
        <v/>
      </c>
      <c r="I34" s="34">
        <f>-Assumptions!$C$104*Assumptions!$C$100</f>
        <v/>
      </c>
      <c r="J34" s="34">
        <f>-Assumptions!$C$104*Assumptions!$C$100</f>
        <v/>
      </c>
      <c r="K34" s="34">
        <f>-Assumptions!$C$104*Assumptions!$C$100</f>
        <v/>
      </c>
      <c r="L34" s="34">
        <f>-Assumptions!$C$104*Assumptions!$C$100</f>
        <v/>
      </c>
      <c r="M34" s="34">
        <f>-Assumptions!$C$104*Assumptions!$C$100</f>
        <v/>
      </c>
    </row>
    <row r="35">
      <c r="B35" s="47" t="inlineStr">
        <is>
          <t>SKBA FCFE</t>
        </is>
      </c>
      <c r="D35" s="48">
        <f>D26+D32+D33+D34</f>
        <v/>
      </c>
      <c r="E35" s="48">
        <f>E26+E32+E33+E34</f>
        <v/>
      </c>
      <c r="F35" s="48">
        <f>F26+F32+F33+F34</f>
        <v/>
      </c>
      <c r="G35" s="48">
        <f>G26+G32+G33+G34</f>
        <v/>
      </c>
      <c r="H35" s="48">
        <f>H26+H32+H33+H34</f>
        <v/>
      </c>
      <c r="I35" s="48">
        <f>I26+I32+I33+I34</f>
        <v/>
      </c>
      <c r="J35" s="48">
        <f>J26+J32+J33+J34</f>
        <v/>
      </c>
      <c r="K35" s="48">
        <f>K26+K32+K33+K34</f>
        <v/>
      </c>
      <c r="L35" s="48">
        <f>L26+L32+L33+L34</f>
        <v/>
      </c>
      <c r="M35" s="48">
        <f>M26+M32+M33+M34</f>
        <v/>
      </c>
    </row>
    <row r="36">
      <c r="B36" s="17" t="inlineStr">
        <is>
          <t>SKOT · DOE 이자 (3.5%)</t>
        </is>
      </c>
      <c r="D36" s="34">
        <f>-Assumptions!$C$106*Assumptions!$C$107</f>
        <v/>
      </c>
      <c r="E36" s="34">
        <f>-Assumptions!$C$106*Assumptions!$C$107</f>
        <v/>
      </c>
      <c r="F36" s="34">
        <f>-Assumptions!$C$106*Assumptions!$C$107</f>
        <v/>
      </c>
      <c r="G36" s="34">
        <f>-Assumptions!$C$106*Assumptions!$C$107</f>
        <v/>
      </c>
      <c r="H36" s="34">
        <f>-Assumptions!$C$106*Assumptions!$C$107</f>
        <v/>
      </c>
      <c r="I36" s="34">
        <f>-Assumptions!$C$106*Assumptions!$C$107</f>
        <v/>
      </c>
      <c r="J36" s="34">
        <f>-Assumptions!$C$106*Assumptions!$C$107</f>
        <v/>
      </c>
      <c r="K36" s="34">
        <f>-Assumptions!$C$106*Assumptions!$C$107</f>
        <v/>
      </c>
      <c r="L36" s="34">
        <f>-Assumptions!$C$106*Assumptions!$C$107</f>
        <v/>
      </c>
      <c r="M36" s="34">
        <f>-Assumptions!$C$106*Assumptions!$C$107</f>
        <v/>
      </c>
    </row>
    <row r="37">
      <c r="B37" s="17" t="inlineStr">
        <is>
          <t>SKOT · DOE 이자 tax shield</t>
        </is>
      </c>
      <c r="D37" s="34">
        <f>-D36*Assumptions!$C$86</f>
        <v/>
      </c>
      <c r="E37" s="34">
        <f>-E36*Assumptions!$C$86</f>
        <v/>
      </c>
      <c r="F37" s="34">
        <f>-F36*Assumptions!$C$86</f>
        <v/>
      </c>
      <c r="G37" s="34">
        <f>-G36*Assumptions!$C$86</f>
        <v/>
      </c>
      <c r="H37" s="34">
        <f>-H36*Assumptions!$C$86</f>
        <v/>
      </c>
      <c r="I37" s="34">
        <f>-I36*Assumptions!$C$86</f>
        <v/>
      </c>
      <c r="J37" s="34">
        <f>-J36*Assumptions!$C$86</f>
        <v/>
      </c>
      <c r="K37" s="34">
        <f>-K36*Assumptions!$C$86</f>
        <v/>
      </c>
      <c r="L37" s="34">
        <f>-L36*Assumptions!$C$86</f>
        <v/>
      </c>
      <c r="M37" s="34">
        <f>-M36*Assumptions!$C$86</f>
        <v/>
      </c>
    </row>
    <row r="38">
      <c r="B38" s="17" t="inlineStr">
        <is>
          <t>메자닌 연상환액</t>
        </is>
      </c>
      <c r="D38" s="34">
        <f>Assumptions!$C$108/(Assumptions!$C$111-Assumptions!$C$110+1)</f>
        <v/>
      </c>
      <c r="E38" s="34">
        <f>Assumptions!$C$108/(Assumptions!$C$111-Assumptions!$C$110+1)</f>
        <v/>
      </c>
      <c r="F38" s="34">
        <f>Assumptions!$C$108/(Assumptions!$C$111-Assumptions!$C$110+1)</f>
        <v/>
      </c>
      <c r="G38" s="34">
        <f>Assumptions!$C$108/(Assumptions!$C$111-Assumptions!$C$110+1)</f>
        <v/>
      </c>
      <c r="H38" s="34">
        <f>Assumptions!$C$108/(Assumptions!$C$111-Assumptions!$C$110+1)</f>
        <v/>
      </c>
      <c r="I38" s="34">
        <f>Assumptions!$C$108/(Assumptions!$C$111-Assumptions!$C$110+1)</f>
        <v/>
      </c>
      <c r="J38" s="34">
        <f>Assumptions!$C$108/(Assumptions!$C$111-Assumptions!$C$110+1)</f>
        <v/>
      </c>
      <c r="K38" s="34">
        <f>Assumptions!$C$108/(Assumptions!$C$111-Assumptions!$C$110+1)</f>
        <v/>
      </c>
      <c r="L38" s="34">
        <f>Assumptions!$C$108/(Assumptions!$C$111-Assumptions!$C$110+1)</f>
        <v/>
      </c>
      <c r="M38" s="34">
        <f>Assumptions!$C$108/(Assumptions!$C$111-Assumptions!$C$110+1)</f>
        <v/>
      </c>
    </row>
    <row r="39">
      <c r="B39" s="17" t="inlineStr">
        <is>
          <t>메자닌 기초잔액</t>
        </is>
      </c>
      <c r="D39" s="34">
        <f>MAX(0,Assumptions!$C$108-D38*MAX(0,MIN((2026)-Assumptions!$C$110,Assumptions!$C$111-Assumptions!$C$110+1)))</f>
        <v/>
      </c>
      <c r="E39" s="34">
        <f>MAX(0,Assumptions!$C$108-E38*MAX(0,MIN((2027)-Assumptions!$C$110,Assumptions!$C$111-Assumptions!$C$110+1)))</f>
        <v/>
      </c>
      <c r="F39" s="34">
        <f>MAX(0,Assumptions!$C$108-F38*MAX(0,MIN((2028)-Assumptions!$C$110,Assumptions!$C$111-Assumptions!$C$110+1)))</f>
        <v/>
      </c>
      <c r="G39" s="34">
        <f>MAX(0,Assumptions!$C$108-G38*MAX(0,MIN((2029)-Assumptions!$C$110,Assumptions!$C$111-Assumptions!$C$110+1)))</f>
        <v/>
      </c>
      <c r="H39" s="34">
        <f>MAX(0,Assumptions!$C$108-H38*MAX(0,MIN((2030)-Assumptions!$C$110,Assumptions!$C$111-Assumptions!$C$110+1)))</f>
        <v/>
      </c>
      <c r="I39" s="34">
        <f>MAX(0,Assumptions!$C$108-I38*MAX(0,MIN((2031)-Assumptions!$C$110,Assumptions!$C$111-Assumptions!$C$110+1)))</f>
        <v/>
      </c>
      <c r="J39" s="34">
        <f>MAX(0,Assumptions!$C$108-J38*MAX(0,MIN((2032)-Assumptions!$C$110,Assumptions!$C$111-Assumptions!$C$110+1)))</f>
        <v/>
      </c>
      <c r="K39" s="34">
        <f>MAX(0,Assumptions!$C$108-K38*MAX(0,MIN((2033)-Assumptions!$C$110,Assumptions!$C$111-Assumptions!$C$110+1)))</f>
        <v/>
      </c>
      <c r="L39" s="34">
        <f>MAX(0,Assumptions!$C$108-L38*MAX(0,MIN((2034)-Assumptions!$C$110,Assumptions!$C$111-Assumptions!$C$110+1)))</f>
        <v/>
      </c>
      <c r="M39" s="34">
        <f>MAX(0,Assumptions!$C$108-M38*MAX(0,MIN((2035)-Assumptions!$C$110,Assumptions!$C$111-Assumptions!$C$110+1)))</f>
        <v/>
      </c>
    </row>
    <row r="40">
      <c r="B40" s="17" t="inlineStr">
        <is>
          <t>메자닌 원금상환 (amort, AMPC재원)</t>
        </is>
      </c>
      <c r="D40" s="34">
        <f>-IF(AND((2026)&gt;=Assumptions!$C$110,(2026)&lt;=Assumptions!$C$111),MIN(D39,D38),0)</f>
        <v/>
      </c>
      <c r="E40" s="34">
        <f>-IF(AND((2027)&gt;=Assumptions!$C$110,(2027)&lt;=Assumptions!$C$111),MIN(E39,E38),0)</f>
        <v/>
      </c>
      <c r="F40" s="34">
        <f>-IF(AND((2028)&gt;=Assumptions!$C$110,(2028)&lt;=Assumptions!$C$111),MIN(F39,F38),0)</f>
        <v/>
      </c>
      <c r="G40" s="34">
        <f>-IF(AND((2029)&gt;=Assumptions!$C$110,(2029)&lt;=Assumptions!$C$111),MIN(G39,G38),0)</f>
        <v/>
      </c>
      <c r="H40" s="34">
        <f>-IF(AND((2030)&gt;=Assumptions!$C$110,(2030)&lt;=Assumptions!$C$111),MIN(H39,H38),0)</f>
        <v/>
      </c>
      <c r="I40" s="34">
        <f>-IF(AND((2031)&gt;=Assumptions!$C$110,(2031)&lt;=Assumptions!$C$111),MIN(I39,I38),0)</f>
        <v/>
      </c>
      <c r="J40" s="34">
        <f>-IF(AND((2032)&gt;=Assumptions!$C$110,(2032)&lt;=Assumptions!$C$111),MIN(J39,J38),0)</f>
        <v/>
      </c>
      <c r="K40" s="34">
        <f>-IF(AND((2033)&gt;=Assumptions!$C$110,(2033)&lt;=Assumptions!$C$111),MIN(K39,K38),0)</f>
        <v/>
      </c>
      <c r="L40" s="34">
        <f>-IF(AND((2034)&gt;=Assumptions!$C$110,(2034)&lt;=Assumptions!$C$111),MIN(L39,L38),0)</f>
        <v/>
      </c>
      <c r="M40" s="34">
        <f>-IF(AND((2035)&gt;=Assumptions!$C$110,(2035)&lt;=Assumptions!$C$111),MIN(M39,M38),0)</f>
        <v/>
      </c>
    </row>
    <row r="41">
      <c r="B41" s="17" t="inlineStr">
        <is>
          <t>SKOT · 메자닌 배당 (7%, 잔액기준)</t>
        </is>
      </c>
      <c r="D41" s="34">
        <f>-D39*Assumptions!$C$109</f>
        <v/>
      </c>
      <c r="E41" s="34">
        <f>-E39*Assumptions!$C$109</f>
        <v/>
      </c>
      <c r="F41" s="34">
        <f>-F39*Assumptions!$C$109</f>
        <v/>
      </c>
      <c r="G41" s="34">
        <f>-G39*Assumptions!$C$109</f>
        <v/>
      </c>
      <c r="H41" s="34">
        <f>-H39*Assumptions!$C$109</f>
        <v/>
      </c>
      <c r="I41" s="34">
        <f>-I39*Assumptions!$C$109</f>
        <v/>
      </c>
      <c r="J41" s="34">
        <f>-J39*Assumptions!$C$109</f>
        <v/>
      </c>
      <c r="K41" s="34">
        <f>-K39*Assumptions!$C$109</f>
        <v/>
      </c>
      <c r="L41" s="34">
        <f>-L39*Assumptions!$C$109</f>
        <v/>
      </c>
      <c r="M41" s="34">
        <f>-M39*Assumptions!$C$109</f>
        <v/>
      </c>
    </row>
    <row r="42">
      <c r="B42" s="17" t="inlineStr">
        <is>
          <t>SKOT · HoldCo 크레딧비용 배분</t>
        </is>
      </c>
      <c r="D42" s="34">
        <f>-Assumptions!$C$113*Assumptions!$C$100</f>
        <v/>
      </c>
      <c r="E42" s="34">
        <f>-Assumptions!$C$113*Assumptions!$C$100</f>
        <v/>
      </c>
      <c r="F42" s="34">
        <f>-Assumptions!$C$113*Assumptions!$C$100</f>
        <v/>
      </c>
      <c r="G42" s="34">
        <f>-Assumptions!$C$113*Assumptions!$C$100</f>
        <v/>
      </c>
      <c r="H42" s="34">
        <f>-Assumptions!$C$113*Assumptions!$C$100</f>
        <v/>
      </c>
      <c r="I42" s="34">
        <f>-Assumptions!$C$113*Assumptions!$C$100</f>
        <v/>
      </c>
      <c r="J42" s="34">
        <f>-Assumptions!$C$113*Assumptions!$C$100</f>
        <v/>
      </c>
      <c r="K42" s="34">
        <f>-Assumptions!$C$113*Assumptions!$C$100</f>
        <v/>
      </c>
      <c r="L42" s="34">
        <f>-Assumptions!$C$113*Assumptions!$C$100</f>
        <v/>
      </c>
      <c r="M42" s="34">
        <f>-Assumptions!$C$113*Assumptions!$C$100</f>
        <v/>
      </c>
    </row>
    <row r="43">
      <c r="B43" s="47" t="inlineStr">
        <is>
          <t>SKOT FCFE (보통주 귀속)</t>
        </is>
      </c>
      <c r="D43" s="48">
        <f>D27+D36+D37+D41+D40+D42</f>
        <v/>
      </c>
      <c r="E43" s="48">
        <f>E27+E36+E37+E41+E40+E42</f>
        <v/>
      </c>
      <c r="F43" s="48">
        <f>F27+F36+F37+F41+F40+F42</f>
        <v/>
      </c>
      <c r="G43" s="48">
        <f>G27+G36+G37+G41+G40+G42</f>
        <v/>
      </c>
      <c r="H43" s="48">
        <f>H27+H36+H37+H41+H40+H42</f>
        <v/>
      </c>
      <c r="I43" s="48">
        <f>I27+I36+I37+I41+I40+I42</f>
        <v/>
      </c>
      <c r="J43" s="48">
        <f>J27+J36+J37+J41+J40+J42</f>
        <v/>
      </c>
      <c r="K43" s="48">
        <f>K27+K36+K37+K41+K40+K42</f>
        <v/>
      </c>
      <c r="L43" s="48">
        <f>L27+L36+L37+L41+L40+L42</f>
        <v/>
      </c>
      <c r="M43" s="48">
        <f>M27+M36+M37+M41+M40+M42</f>
        <v/>
      </c>
    </row>
    <row r="44">
      <c r="B44" s="17" t="inlineStr">
        <is>
          <t>OT CFADS (EBITDA-유지capex)</t>
        </is>
      </c>
      <c r="D44" s="58">
        <f>SKOT!D19-SKOT!D15+SKOT!D32</f>
        <v/>
      </c>
      <c r="E44" s="58">
        <f>SKOT!E19-SKOT!E15+SKOT!E32</f>
        <v/>
      </c>
      <c r="F44" s="58">
        <f>SKOT!F19-SKOT!F15+SKOT!F32</f>
        <v/>
      </c>
      <c r="G44" s="58">
        <f>SKOT!G19-SKOT!G15+SKOT!G32</f>
        <v/>
      </c>
      <c r="H44" s="58">
        <f>SKOT!H19-SKOT!H15+SKOT!H32</f>
        <v/>
      </c>
      <c r="I44" s="58">
        <f>SKOT!I19-SKOT!I15+SKOT!I32</f>
        <v/>
      </c>
      <c r="J44" s="58">
        <f>SKOT!J19-SKOT!J15+SKOT!J32</f>
        <v/>
      </c>
      <c r="K44" s="58">
        <f>SKOT!K19-SKOT!K15+SKOT!K32</f>
        <v/>
      </c>
      <c r="L44" s="58">
        <f>SKOT!L19-SKOT!L15+SKOT!L32</f>
        <v/>
      </c>
      <c r="M44" s="58">
        <f>SKOT!M19-SKOT!M15+SKOT!M32</f>
        <v/>
      </c>
    </row>
    <row r="45">
      <c r="B45" s="17" t="inlineStr">
        <is>
          <t xml:space="preserve">  부채상환액 (DOE이자+메자닌 원리금)</t>
        </is>
      </c>
      <c r="D45" s="34">
        <f>-D36-D41-D40</f>
        <v/>
      </c>
      <c r="E45" s="34">
        <f>-E36-E41-E40</f>
        <v/>
      </c>
      <c r="F45" s="34">
        <f>-F36-F41-F40</f>
        <v/>
      </c>
      <c r="G45" s="34">
        <f>-G36-G41-G40</f>
        <v/>
      </c>
      <c r="H45" s="34">
        <f>-H36-H41-H40</f>
        <v/>
      </c>
      <c r="I45" s="34">
        <f>-I36-I41-I40</f>
        <v/>
      </c>
      <c r="J45" s="34">
        <f>-J36-J41-J40</f>
        <v/>
      </c>
      <c r="K45" s="34">
        <f>-K36-K41-K40</f>
        <v/>
      </c>
      <c r="L45" s="34">
        <f>-L36-L41-L40</f>
        <v/>
      </c>
      <c r="M45" s="34">
        <f>-M36-M41-M40</f>
        <v/>
      </c>
    </row>
    <row r="46">
      <c r="B46" s="17" t="inlineStr">
        <is>
          <t xml:space="preserve">  DSCR (CFADS÷상환액)</t>
        </is>
      </c>
      <c r="D46" s="59">
        <f>IF(D45=0,0,D44/D45)</f>
        <v/>
      </c>
      <c r="E46" s="59">
        <f>IF(E45=0,0,E44/E45)</f>
        <v/>
      </c>
      <c r="F46" s="59">
        <f>IF(F45=0,0,F44/F45)</f>
        <v/>
      </c>
      <c r="G46" s="59">
        <f>IF(G45=0,0,G44/G45)</f>
        <v/>
      </c>
      <c r="H46" s="59">
        <f>IF(H45=0,0,H44/H45)</f>
        <v/>
      </c>
      <c r="I46" s="59">
        <f>IF(I45=0,0,I44/I45)</f>
        <v/>
      </c>
      <c r="J46" s="59">
        <f>IF(J45=0,0,J44/J45)</f>
        <v/>
      </c>
      <c r="K46" s="59">
        <f>IF(K45=0,0,K44/K45)</f>
        <v/>
      </c>
      <c r="L46" s="59">
        <f>IF(L45=0,0,L44/L45)</f>
        <v/>
      </c>
      <c r="M46" s="59">
        <f>IF(M45=0,0,M44/M45)</f>
        <v/>
      </c>
    </row>
    <row r="47">
      <c r="B47" s="50" t="inlineStr">
        <is>
          <t>보통주(SK) FCFE 합계</t>
        </is>
      </c>
      <c r="D47" s="51">
        <f>D35+D43</f>
        <v/>
      </c>
      <c r="E47" s="51">
        <f>E35+E43</f>
        <v/>
      </c>
      <c r="F47" s="51">
        <f>F35+F43</f>
        <v/>
      </c>
      <c r="G47" s="51">
        <f>G35+G43</f>
        <v/>
      </c>
      <c r="H47" s="51">
        <f>H35+H43</f>
        <v/>
      </c>
      <c r="I47" s="51">
        <f>I35+I43</f>
        <v/>
      </c>
      <c r="J47" s="51">
        <f>J35+J43</f>
        <v/>
      </c>
      <c r="K47" s="51">
        <f>K35+K43</f>
        <v/>
      </c>
      <c r="L47" s="51">
        <f>L35+L43</f>
        <v/>
      </c>
      <c r="M47" s="51">
        <f>M35+M43</f>
        <v/>
      </c>
    </row>
    <row r="48">
      <c r="B48" s="17" t="inlineStr">
        <is>
          <t>FCFE 할인계수 (Ke)</t>
        </is>
      </c>
      <c r="D48" s="60">
        <f>1/(1+Assumptions!$C$91)^((1)-Assumptions!$C$94)</f>
        <v/>
      </c>
      <c r="E48" s="60">
        <f>1/(1+Assumptions!$C$91)^((2)-Assumptions!$C$94)</f>
        <v/>
      </c>
      <c r="F48" s="60">
        <f>1/(1+Assumptions!$C$91)^((3)-Assumptions!$C$94)</f>
        <v/>
      </c>
      <c r="G48" s="60">
        <f>1/(1+Assumptions!$C$91)^((4)-Assumptions!$C$94)</f>
        <v/>
      </c>
      <c r="H48" s="60">
        <f>1/(1+Assumptions!$C$91)^((5)-Assumptions!$C$94)</f>
        <v/>
      </c>
      <c r="I48" s="60">
        <f>1/(1+Assumptions!$C$91)^((6)-Assumptions!$C$94)</f>
        <v/>
      </c>
      <c r="J48" s="60">
        <f>1/(1+Assumptions!$C$91)^((7)-Assumptions!$C$94)</f>
        <v/>
      </c>
      <c r="K48" s="60">
        <f>1/(1+Assumptions!$C$91)^((8)-Assumptions!$C$94)</f>
        <v/>
      </c>
      <c r="L48" s="60">
        <f>1/(1+Assumptions!$C$91)^((9)-Assumptions!$C$94)</f>
        <v/>
      </c>
      <c r="M48" s="60">
        <f>1/(1+Assumptions!$C$91)^((10)-Assumptions!$C$94)</f>
        <v/>
      </c>
    </row>
    <row r="49">
      <c r="B49" s="57" t="inlineStr">
        <is>
          <t>PV of FCFE</t>
        </is>
      </c>
      <c r="D49" s="35">
        <f>D47*D48</f>
        <v/>
      </c>
      <c r="E49" s="35">
        <f>E47*E48</f>
        <v/>
      </c>
      <c r="F49" s="35">
        <f>F47*F48</f>
        <v/>
      </c>
      <c r="G49" s="35">
        <f>G47*G48</f>
        <v/>
      </c>
      <c r="H49" s="35">
        <f>H47*H48</f>
        <v/>
      </c>
      <c r="I49" s="35">
        <f>I47*I48</f>
        <v/>
      </c>
      <c r="J49" s="35">
        <f>J47*J48</f>
        <v/>
      </c>
      <c r="K49" s="35">
        <f>K47*K48</f>
        <v/>
      </c>
      <c r="L49" s="35">
        <f>L47*L48</f>
        <v/>
      </c>
      <c r="M49" s="35">
        <f>M47*M48</f>
        <v/>
      </c>
    </row>
    <row r="50">
      <c r="B50" s="8" t="inlineStr">
        <is>
          <t>※ 메자닌 제거: OT 소요 $1bn은 BA 증자(equity-down)로 조달 → OT 신규부채·DSCR 불요. 수익률은 보통주 FCFE(Ke)로 평가. DOE 이자만·각 SPV non-recourse.</t>
        </is>
      </c>
    </row>
    <row r="52">
      <c r="B52" s="4" t="inlineStr">
        <is>
          <t>DCF VALUATION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B53" s="14" t="inlineStr">
        <is>
          <t>($mm)</t>
        </is>
      </c>
      <c r="C53" s="15" t="n"/>
      <c r="D53" s="16" t="inlineStr">
        <is>
          <t>2026</t>
        </is>
      </c>
      <c r="E53" s="16" t="inlineStr">
        <is>
          <t>2027</t>
        </is>
      </c>
      <c r="F53" s="16" t="inlineStr">
        <is>
          <t>2028</t>
        </is>
      </c>
      <c r="G53" s="16" t="inlineStr">
        <is>
          <t>2029</t>
        </is>
      </c>
      <c r="H53" s="16" t="inlineStr">
        <is>
          <t>2030</t>
        </is>
      </c>
      <c r="I53" s="16" t="inlineStr">
        <is>
          <t>2031</t>
        </is>
      </c>
      <c r="J53" s="16" t="inlineStr">
        <is>
          <t>2032</t>
        </is>
      </c>
      <c r="K53" s="16" t="inlineStr">
        <is>
          <t>2033</t>
        </is>
      </c>
      <c r="L53" s="16" t="inlineStr">
        <is>
          <t>2034</t>
        </is>
      </c>
      <c r="M53" s="16" t="inlineStr">
        <is>
          <t>2035</t>
        </is>
      </c>
    </row>
    <row r="54">
      <c r="B54" s="17" t="inlineStr">
        <is>
          <t>Discount period (mid-yr)</t>
        </is>
      </c>
      <c r="D54" s="61">
        <f>(1)-Assumptions!$C$94</f>
        <v/>
      </c>
      <c r="E54" s="61">
        <f>(2)-Assumptions!$C$94</f>
        <v/>
      </c>
      <c r="F54" s="61">
        <f>(3)-Assumptions!$C$94</f>
        <v/>
      </c>
      <c r="G54" s="61">
        <f>(4)-Assumptions!$C$94</f>
        <v/>
      </c>
      <c r="H54" s="61">
        <f>(5)-Assumptions!$C$94</f>
        <v/>
      </c>
      <c r="I54" s="61">
        <f>(6)-Assumptions!$C$94</f>
        <v/>
      </c>
      <c r="J54" s="61">
        <f>(7)-Assumptions!$C$94</f>
        <v/>
      </c>
      <c r="K54" s="61">
        <f>(8)-Assumptions!$C$94</f>
        <v/>
      </c>
      <c r="L54" s="61">
        <f>(9)-Assumptions!$C$94</f>
        <v/>
      </c>
      <c r="M54" s="61">
        <f>(10)-Assumptions!$C$94</f>
        <v/>
      </c>
    </row>
    <row r="55">
      <c r="B55" s="17" t="inlineStr">
        <is>
          <t>Discount factor</t>
        </is>
      </c>
      <c r="D55" s="60">
        <f>1/(1+Assumptions!$C$90)^D54</f>
        <v/>
      </c>
      <c r="E55" s="60">
        <f>1/(1+Assumptions!$C$90)^E54</f>
        <v/>
      </c>
      <c r="F55" s="60">
        <f>1/(1+Assumptions!$C$90)^F54</f>
        <v/>
      </c>
      <c r="G55" s="60">
        <f>1/(1+Assumptions!$C$90)^G54</f>
        <v/>
      </c>
      <c r="H55" s="60">
        <f>1/(1+Assumptions!$C$90)^H54</f>
        <v/>
      </c>
      <c r="I55" s="60">
        <f>1/(1+Assumptions!$C$90)^I54</f>
        <v/>
      </c>
      <c r="J55" s="60">
        <f>1/(1+Assumptions!$C$90)^J54</f>
        <v/>
      </c>
      <c r="K55" s="60">
        <f>1/(1+Assumptions!$C$90)^K54</f>
        <v/>
      </c>
      <c r="L55" s="60">
        <f>1/(1+Assumptions!$C$90)^L54</f>
        <v/>
      </c>
      <c r="M55" s="60">
        <f>1/(1+Assumptions!$C$90)^M54</f>
        <v/>
      </c>
    </row>
    <row r="56">
      <c r="B56" s="57" t="inlineStr">
        <is>
          <t>PV of FCFF</t>
        </is>
      </c>
      <c r="D56" s="35">
        <f>D28*D55</f>
        <v/>
      </c>
      <c r="E56" s="35">
        <f>E28*E55</f>
        <v/>
      </c>
      <c r="F56" s="35">
        <f>F28*F55</f>
        <v/>
      </c>
      <c r="G56" s="35">
        <f>G28*G55</f>
        <v/>
      </c>
      <c r="H56" s="35">
        <f>H28*H55</f>
        <v/>
      </c>
      <c r="I56" s="35">
        <f>I28*I55</f>
        <v/>
      </c>
      <c r="J56" s="35">
        <f>J28*J55</f>
        <v/>
      </c>
      <c r="K56" s="35">
        <f>K28*K55</f>
        <v/>
      </c>
      <c r="L56" s="35">
        <f>L28*L55</f>
        <v/>
      </c>
      <c r="M56" s="35">
        <f>M28*M55</f>
        <v/>
      </c>
    </row>
    <row r="58">
      <c r="B58" s="62" t="inlineStr">
        <is>
          <t>VALUATION SUMMARY ($mm)</t>
        </is>
      </c>
      <c r="C58" s="5" t="n"/>
      <c r="D58" s="5" t="n"/>
      <c r="E58" s="5" t="n"/>
    </row>
    <row r="59">
      <c r="B59" s="17" t="inlineStr">
        <is>
          <t>Sum PV explicit FCFF (2026–35)</t>
        </is>
      </c>
      <c r="D59" s="34">
        <f>SUM(D56:M56)</f>
        <v/>
      </c>
    </row>
    <row r="60">
      <c r="B60" s="17" t="inlineStr">
        <is>
          <t>Terminal value (Gordon, undisc.)</t>
        </is>
      </c>
      <c r="D60" s="34">
        <f>M28*(1+Assumptions!$C$92)/(Assumptions!$C$90-Assumptions!$C$92)</f>
        <v/>
      </c>
    </row>
    <row r="61">
      <c r="B61" s="17" t="inlineStr">
        <is>
          <t>PV of terminal value</t>
        </is>
      </c>
      <c r="D61" s="34">
        <f>D60*M55</f>
        <v/>
      </c>
    </row>
    <row r="62">
      <c r="B62" s="63" t="inlineStr">
        <is>
          <t>Enterprise Value (EV)</t>
        </is>
      </c>
      <c r="D62" s="64">
        <f>D59+D61</f>
        <v/>
      </c>
    </row>
    <row r="63">
      <c r="B63" s="17" t="inlineStr">
        <is>
          <t>Less: net debt (DOE loan)</t>
        </is>
      </c>
      <c r="D63" s="34">
        <f>-Assumptions!$C$93</f>
        <v/>
      </c>
    </row>
    <row r="64">
      <c r="B64" s="62" t="inlineStr">
        <is>
          <t>Equity Value (DCF)</t>
        </is>
      </c>
      <c r="D64" s="65">
        <f>D62-Assumptions!$C$93</f>
        <v/>
      </c>
    </row>
    <row r="66">
      <c r="B66" s="2" t="inlineStr">
        <is>
          <t>% TV of EV</t>
        </is>
      </c>
      <c r="D66" s="66">
        <f>D61/D62</f>
        <v/>
      </c>
    </row>
    <row r="68">
      <c r="B68" s="62" t="inlineStr">
        <is>
          <t>EQUITY VALUE — FCFE 직접법 ($mm)</t>
        </is>
      </c>
      <c r="C68" s="5" t="n"/>
      <c r="D68" s="5" t="n"/>
      <c r="E68" s="5" t="n"/>
    </row>
    <row r="69">
      <c r="B69" s="17" t="inlineStr">
        <is>
          <t>Sum PV explicit FCFE (2026–35)</t>
        </is>
      </c>
      <c r="D69" s="34">
        <f>SUM(D49:M49)</f>
        <v/>
      </c>
    </row>
    <row r="70">
      <c r="B70" s="17" t="inlineStr">
        <is>
          <t>FCFE Terminal value (Gordon)</t>
        </is>
      </c>
      <c r="D70" s="34">
        <f>M47*(1+Assumptions!$C$92)/(Assumptions!$C$91-Assumptions!$C$92)</f>
        <v/>
      </c>
    </row>
    <row r="71">
      <c r="B71" s="17" t="inlineStr">
        <is>
          <t>PV of FCFE terminal value</t>
        </is>
      </c>
      <c r="D71" s="34">
        <f>D70*1/(1+Assumptions!$C$91)^((10)-Assumptions!$C$94)</f>
        <v/>
      </c>
    </row>
    <row r="72">
      <c r="B72" s="63" t="inlineStr">
        <is>
          <t>Equity Value (FCFE 직접법)</t>
        </is>
      </c>
      <c r="D72" s="64">
        <f>D69+D71</f>
        <v/>
      </c>
    </row>
    <row r="73">
      <c r="B73" s="2" t="inlineStr">
        <is>
          <t>vs. Equity Value (DCF: EV−순차입금)</t>
        </is>
      </c>
      <c r="D73" s="67">
        <f>D64</f>
        <v/>
      </c>
    </row>
    <row r="74">
      <c r="B74" s="44" t="inlineStr">
        <is>
          <t>※ FCFE는 Ke로 할인(레버리지 직접 반영) / DCF는 FCFF를 WACC로 할인 후 순차입금 차감. 두 경로의 주주가치 교차검증.</t>
        </is>
      </c>
    </row>
    <row r="76">
      <c r="B76" s="39" t="inlineStr">
        <is>
          <t>SOTP 교차검증 — 순자산 NAV vs 지분가치 ($mm)</t>
        </is>
      </c>
      <c r="C76" s="40" t="n"/>
      <c r="D76" s="40" t="n"/>
      <c r="E76" s="40" t="n"/>
    </row>
    <row r="77">
      <c r="B77" s="17" t="inlineStr">
        <is>
          <t>SKBA 순자산 (DART, 부채차감後)</t>
        </is>
      </c>
      <c r="D77" s="58">
        <f>Assumptions!$C$118</f>
        <v/>
      </c>
    </row>
    <row r="78">
      <c r="B78" s="17" t="inlineStr">
        <is>
          <t>SKOT 순자산 (분할 PPA, DOE차감後)</t>
        </is>
      </c>
      <c r="D78" s="58">
        <f>Assumptions!$C$119</f>
        <v/>
      </c>
    </row>
    <row r="79">
      <c r="B79" s="68" t="inlineStr">
        <is>
          <t>합산 NAV = SOTP 지분가치</t>
        </is>
      </c>
      <c r="D79" s="69">
        <f>Assumptions!$C$118+Assumptions!$C$119</f>
        <v/>
      </c>
    </row>
    <row r="80">
      <c r="B80" s="57" t="inlineStr">
        <is>
          <t>vs. DCF Equity Value</t>
        </is>
      </c>
      <c r="D80" s="70">
        <f>D64</f>
        <v/>
      </c>
    </row>
    <row r="81">
      <c r="B81" s="2" t="inlineStr">
        <is>
          <t xml:space="preserve">  괴리 (NAV − DCF Equity)</t>
        </is>
      </c>
      <c r="D81" s="67">
        <f>(Assumptions!$C$118+Assumptions!$C$119)-D64</f>
        <v/>
      </c>
    </row>
    <row r="82">
      <c r="B82" s="44" t="inlineStr">
        <is>
          <t>※ NAV는 순자산(자본총계)이라 부채 이미 차감 → 순차입금 재차감 不可. DCF는 EV에서만 순차입금 1회 차감. 둘 다 '지분가치' 기준 동일 비교.</t>
        </is>
      </c>
    </row>
    <row r="83">
      <c r="B83" s="8" t="inlineStr">
        <is>
          <t>괴리 의미: NAV(장부 순자산) ≫ DCF Equity → 사업 현금흐름이 장부 순자산·DOE 부채를 정당화 못함 (자산&gt;수익력).</t>
        </is>
      </c>
    </row>
    <row r="85">
      <c r="B85" s="4" t="inlineStr">
        <is>
          <t>EV/EBITDA 멀티플 밸류에이션 (Forward, 증권사 추정 기준)</t>
        </is>
      </c>
      <c r="C85" s="5" t="n"/>
      <c r="D85" s="5" t="n"/>
      <c r="E85" s="5" t="n"/>
    </row>
    <row r="86">
      <c r="B86" s="17" t="inlineStr">
        <is>
          <t>Forward EBITDA ex-AMPC (2029E)</t>
        </is>
      </c>
      <c r="D86" s="58">
        <f>G21</f>
        <v/>
      </c>
    </row>
    <row r="87">
      <c r="B87" s="17" t="inlineStr">
        <is>
          <t>Run-rate EBITDA ex-AMPC (2030–32 평균)</t>
        </is>
      </c>
      <c r="D87" s="58">
        <f>AVERAGE(H21:J21)</f>
        <v/>
      </c>
    </row>
    <row r="88">
      <c r="B88" s="71" t="inlineStr">
        <is>
          <t>peer forward EV/EBITDA 가정 (×)</t>
        </is>
      </c>
      <c r="D88" s="72" t="n">
        <v>8</v>
      </c>
      <c r="E88" s="72" t="n">
        <v>11</v>
      </c>
      <c r="F88" s="72" t="n">
        <v>14</v>
      </c>
    </row>
    <row r="89">
      <c r="G89" s="8" t="inlineStr">
        <is>
          <t>보수 / 기준 / 강세</t>
        </is>
      </c>
    </row>
    <row r="90">
      <c r="B90" s="57" t="inlineStr">
        <is>
          <t>→ 내재 EV (2029E ex-AMPC EBITDA × 배수)</t>
        </is>
      </c>
      <c r="D90" s="70">
        <f>$D$86*D88</f>
        <v/>
      </c>
      <c r="E90" s="70">
        <f>$D$86*E88</f>
        <v/>
      </c>
      <c r="F90" s="70">
        <f>$D$86*F88</f>
        <v/>
      </c>
    </row>
    <row r="91">
      <c r="B91" s="57" t="inlineStr">
        <is>
          <t>→ 내재 EV (run-rate ex-AMPC EBITDA × 배수)</t>
        </is>
      </c>
      <c r="D91" s="70">
        <f>$D$87*D88</f>
        <v/>
      </c>
      <c r="E91" s="70">
        <f>$D$87*E88</f>
        <v/>
      </c>
      <c r="F91" s="70">
        <f>$D$87*F88</f>
        <v/>
      </c>
    </row>
    <row r="92">
      <c r="B92" s="2" t="inlineStr">
        <is>
          <t>vs. DCF EV (관세하한)</t>
        </is>
      </c>
      <c r="D92" s="67">
        <f>D62</f>
        <v/>
      </c>
    </row>
    <row r="93">
      <c r="B93" s="44" t="inlineStr">
        <is>
          <t>※ EBITDA에서 AMPC 제외(2033 소멸 한시 보조금이라 영구 자본화 부적절) · EBIT 마진 10% 목표 · peer forward 8~14x.</t>
        </is>
      </c>
    </row>
    <row r="94">
      <c r="B94" s="8" t="inlineStr">
        <is>
          <t xml:space="preserve">  단, peer(LGES·삼성SDI·Fluence) EBITDA에도 AMPC 포함 → 우리만 ex-AMPC면 보수적 비교(apples-to-apples 아님 유의).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2026-06-30T14:09:24Z</dcterms:created>
  <dcterms:modified xsi:type="dcterms:W3CDTF">2026-06-30T14:09:24Z</dcterms:modified>
</cp:coreProperties>
</file>