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<sst xmlns="http://schemas.openxmlformats.org/spreadsheetml/2006/main" count="554" uniqueCount="350">
  <si>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</si>
  <si>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  <charset val="1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</si>
  <si>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  <charset val="1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  <charset val="1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  <charset val="1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  <charset val="1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  <charset val="1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  <charset val="1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</si>
  <si>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</si>
  <si>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  <charset val="1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</si>
  <si>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  <charset val="1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  <charset val="1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  <charset val="1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</si>
  <si>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  <charset val="1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  <charset val="1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  <charset val="1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</si>
  <si>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  <charset val="1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  <charset val="1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</si>
  <si>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  <charset val="1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  <charset val="1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  <charset val="1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  <charset val="1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</si>
  <si>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</si>
  <si>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  <charset val="1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  <charset val="1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  <charset val="1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  <charset val="1"/>
      </rPr>
      <t xml:space="preserve">하한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</si>
  <si>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  <charset val="1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  <charset val="1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  <charset val="1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  <charset val="1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</si>
  <si>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</si>
  <si>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</si>
  <si>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</si>
  <si>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</si>
  <si>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</si>
  <si>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</si>
  <si>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</si>
  <si>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</si>
  <si>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</si>
  <si>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</si>
  <si>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</si>
  <si>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  <charset val="1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  <charset val="1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</si>
  <si>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  <charset val="1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  <charset val="1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  <charset val="1"/>
      </rPr>
      <t xml:space="preserve">대</t>
    </r>
  </si>
  <si>
    <r>
      <rPr>
        <sz val="10"/>
        <color rgb="FF000000"/>
        <rFont val="WenQuanYi Zen Hei"/>
        <family val="2"/>
        <charset val="1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</si>
  <si>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</si>
  <si>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  <charset val="1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</si>
  <si>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  <charset val="1"/>
      </rPr>
      <t xml:space="preserve">등</t>
    </r>
  </si>
  <si>
    <r>
      <rPr>
        <sz val="10"/>
        <color rgb="FF000000"/>
        <rFont val="WenQuanYi Zen Hei"/>
        <family val="2"/>
        <charset val="1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</si>
  <si>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</si>
  <si>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  <charset val="1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  <charset val="1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</si>
  <si>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  <charset val="1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</si>
  <si>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</si>
  <si>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  <charset val="1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  <charset val="1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</si>
  <si>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  <charset val="1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</si>
  <si>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</si>
  <si>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  <charset val="1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</si>
  <si>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  <charset val="1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  <charset val="1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  <charset val="1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  <charset val="1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</si>
  <si>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  <charset val="1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</si>
  <si>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  <charset val="1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</si>
  <si>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  <charset val="1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</si>
  <si>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  <charset val="1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</si>
  <si>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  <charset val="1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  <charset val="1"/>
      </rPr>
      <t xml:space="preserve">에 직접 반영</t>
    </r>
  </si>
  <si>
    <r>
      <rPr>
        <sz val="10"/>
        <color rgb="FF2E6FA8"/>
        <rFont val="WenQuanYi Zen Hei"/>
        <family val="2"/>
        <charset val="1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  <charset val="1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</si>
  <si>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  <charset val="1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  <charset val="1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</si>
  <si>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</si>
  <si>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4</t>
    </r>
    <r>
      <rPr>
        <b val="true"/>
        <sz val="10"/>
        <color rgb="FFFFFFFF"/>
        <rFont val="WenQuanYi Zen Hei"/>
        <family val="2"/>
        <charset val="1"/>
      </rPr>
      <t xml:space="preserve">라인 </t>
    </r>
    <r>
      <rPr>
        <b val="true"/>
        <sz val="10"/>
        <color rgb="FFFFFFFF"/>
        <rFont val="Arial"/>
        <family val="0"/>
        <charset val="1"/>
      </rPr>
      <t xml:space="preserve">2.75×4 = 11 GWh </t>
    </r>
    <r>
      <rPr>
        <b val="true"/>
        <sz val="10"/>
        <color rgb="FFFFFFFF"/>
        <rFont val="WenQuanYi Zen Hei"/>
        <family val="2"/>
        <charset val="1"/>
      </rPr>
      <t xml:space="preserve">개조 </t>
    </r>
    <r>
      <rPr>
        <b val="true"/>
        <sz val="10"/>
        <color rgb="FFFFFFFF"/>
        <rFont val="Arial"/>
        <family val="0"/>
        <charset val="1"/>
      </rPr>
      <t xml:space="preserve">(1-1</t>
    </r>
    <r>
      <rPr>
        <b val="true"/>
        <sz val="10"/>
        <color rgb="FFFFFFFF"/>
        <rFont val="WenQuanYi Zen Hei"/>
        <family val="2"/>
        <charset val="1"/>
      </rPr>
      <t xml:space="preserve">동 자체전극 </t>
    </r>
    <r>
      <rPr>
        <b val="true"/>
        <sz val="10"/>
        <color rgb="FFFFFFFF"/>
        <rFont val="Arial"/>
        <family val="0"/>
        <charset val="1"/>
      </rPr>
      <t xml:space="preserve">+ 1-2</t>
    </r>
    <r>
      <rPr>
        <b val="true"/>
        <sz val="10"/>
        <color rgb="FFFFFFFF"/>
        <rFont val="WenQuanYi Zen Hei"/>
        <family val="2"/>
        <charset val="1"/>
      </rPr>
      <t xml:space="preserve">동 외부전극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</si>
  <si>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</si>
  <si>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  <charset val="1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2.75GW · </t>
    </r>
    <r>
      <rPr>
        <b val="true"/>
        <sz val="9"/>
        <color rgb="FF1F3A63"/>
        <rFont val="WenQuanYi Zen Hei"/>
        <family val="2"/>
        <charset val="1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</si>
  <si>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</si>
  <si>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</si>
  <si>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</si>
  <si>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</si>
  <si>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</si>
  <si>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</si>
  <si>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  <charset val="1"/>
      </rPr>
      <t xml:space="preserve">전극 외부구매 </t>
    </r>
    <r>
      <rPr>
        <b val="true"/>
        <sz val="9"/>
        <color rgb="FF1F3A63"/>
        <rFont val="Arial"/>
        <family val="0"/>
        <charset val="1"/>
      </rPr>
      <t xml:space="preserve">· 2.75×2)</t>
    </r>
  </si>
  <si>
    <t xml:space="preserve">  L1-2C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</si>
  <si>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</si>
  <si>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</si>
  <si>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</si>
  <si>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</si>
  <si>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</si>
  <si>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</si>
  <si>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</si>
  <si>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  <charset val="1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</si>
  <si>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</si>
  <si>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</si>
  <si>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</si>
  <si>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  <charset val="1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</si>
  <si>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</si>
  <si>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</si>
  <si>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</si>
  <si>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</si>
  <si>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</si>
  <si>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</si>
  <si>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</si>
  <si>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</si>
  <si>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</si>
  <si>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</si>
  <si>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</si>
  <si>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  <charset val="1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  <charset val="1"/>
      </rPr>
      <t xml:space="preserve">가동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</si>
  <si>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  <charset val="1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  <charset val="1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  <charset val="1"/>
      </rPr>
      <t xml:space="preserve">가정</t>
    </r>
  </si>
  <si>
    <r>
      <rPr>
        <b val="true"/>
        <sz val="9"/>
        <color rgb="FF7A2230"/>
        <rFont val="WenQuanYi Zen Hei"/>
        <family val="2"/>
        <charset val="1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  <charset val="1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</si>
  <si>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</si>
  <si>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</si>
  <si>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</si>
  <si>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  <charset val="1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</si>
  <si>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  <charset val="1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</si>
  <si>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</si>
  <si>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</si>
  <si>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</si>
  <si>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</si>
  <si>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sz val="10"/>
        <color rgb="FF000000"/>
        <rFont val="WenQuanYi Zen Hei"/>
        <family val="2"/>
        <charset val="1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</si>
  <si>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</si>
  <si>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</si>
  <si>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</si>
  <si>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</si>
  <si>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</si>
  <si>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</si>
  <si>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  <charset val="1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</si>
  <si>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</si>
  <si>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</si>
  <si>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</si>
  <si>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  <charset val="1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</si>
  <si>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</si>
  <si>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</si>
  <si>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</si>
  <si>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</si>
  <si>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</si>
  <si>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  <charset val="1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</si>
  <si>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  <charset val="1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  <charset val="1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</si>
  <si>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</si>
  <si>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  <charset val="1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  <charset val="1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  <charset val="1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  <charset val="1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</si>
  <si>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</si>
  <si>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</si>
  <si>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</si>
  <si>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  <charset val="1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</si>
  <si>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  <charset val="1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</si>
  <si>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</si>
  <si>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  <charset val="1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</si>
  <si>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</si>
  <si>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  <charset val="1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</si>
  <si>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</si>
  <si>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  <charset val="1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</si>
  <si>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</si>
  <si>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</si>
  <si>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</si>
  <si>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  <charset val="1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</si>
  <si>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</si>
  <si>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  <charset val="1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  <charset val="1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</si>
  <si>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  <charset val="1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  <charset val="1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  <charset val="1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  <charset val="1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  <charset val="1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</si>
  <si>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  <charset val="1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  <charset val="1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</si>
  <si>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</si>
  <si>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  <charset val="1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</si>
  <si>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</si>
  <si>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</si>
  <si>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  <charset val="1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</si>
  <si>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  <charset val="1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</si>
  <si>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$1.22bn × 60% (BA 11GW·OT </t>
    </r>
    <r>
      <rPr>
        <i val="true"/>
        <sz val="8"/>
        <color rgb="FF8C8473"/>
        <rFont val="WenQuanYi Zen Hei"/>
        <family val="2"/>
        <charset val="1"/>
      </rPr>
      <t xml:space="preserve">개조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</si>
  <si>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</si>
  <si>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</si>
  <si>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</si>
  <si>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</si>
  <si>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  <charset val="1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</si>
  <si>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  <charset val="1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</si>
  <si>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</si>
  <si>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이자율 ★</t>
    </r>
  </si>
  <si>
    <r>
      <rPr>
        <i val="true"/>
        <sz val="8"/>
        <color rgb="FF8C8473"/>
        <rFont val="WenQuanYi Zen Hei"/>
        <family val="2"/>
        <charset val="1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</si>
  <si>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  <charset val="1"/>
      </rPr>
      <t xml:space="preserve">제거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</si>
  <si>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</si>
  <si>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</si>
  <si>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</si>
  <si>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</si>
  <si>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  <charset val="1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</si>
  <si>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</si>
  <si>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  <charset val="1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</si>
  <si>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</si>
  <si>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  <charset val="1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  <charset val="1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</si>
  <si>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</si>
  <si>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</si>
  <si>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  <charset val="1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  <charset val="1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  <charset val="1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  <charset val="1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  <charset val="1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</si>
  <si>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  <charset val="1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  <charset val="1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  <charset val="1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</si>
  <si>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</si>
  <si>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  <charset val="1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  <charset val="1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</si>
  <si>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</si>
  <si>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  <charset val="1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</si>
  <si>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  <charset val="1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  <charset val="1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  <charset val="1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  <charset val="1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  <charset val="1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  <charset val="1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</si>
  <si>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  <charset val="1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  <charset val="1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  <charset val="1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  <charset val="1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  <charset val="1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  <charset val="1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  <charset val="1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</si>
  <si>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  <charset val="1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</si>
  <si>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  <charset val="1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</si>
  <si>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</si>
  <si>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</si>
  <si>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</si>
  <si>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</si>
  <si>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</si>
  <si>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</si>
  <si>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</si>
  <si>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</si>
  <si>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</si>
  <si>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</si>
  <si>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</si>
  <si>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  <charset val="1"/>
      </rPr>
      <t xml:space="preserve">보정 </t>
    </r>
    <r>
      <rPr>
        <sz val="10"/>
        <color rgb="FF000000"/>
        <rFont val="Arial"/>
        <family val="0"/>
        <charset val="1"/>
      </rPr>
      <t xml:space="preserve">(pre-SOP ≤'28)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</si>
  <si>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</si>
  <si>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</si>
  <si>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</si>
  <si>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</si>
  <si>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</si>
  <si>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</si>
  <si>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</si>
  <si>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  <charset val="1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</si>
  <si>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</si>
  <si>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기말잔액</t>
    </r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</si>
  <si>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</si>
  <si>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  <charset val="1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  <charset val="1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</si>
  <si>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  <charset val="1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</si>
  <si>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</si>
  <si>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</si>
  <si>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</si>
  <si>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  <charset val="1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</si>
  <si>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</si>
  <si>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</si>
  <si>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</si>
  <si>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  <charset val="1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  <charset val="1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  <charset val="1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  <charset val="1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</si>
  <si>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  <charset val="1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</si>
  <si>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</si>
  <si>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</si>
  <si>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</si>
  <si>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</si>
  <si>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</si>
  <si>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</si>
  <si>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  <charset val="1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  <charset val="1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  <charset val="1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</si>
  <si>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</si>
  <si>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</si>
  <si>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  <charset val="1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</si>
  <si>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</si>
  <si>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</si>
  <si>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</si>
  <si>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</si>
  <si>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</si>
  <si>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</si>
  <si>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</si>
  <si>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</si>
  <si>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  <charset val="1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</si>
  <si>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</si>
  <si>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</si>
  <si>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</si>
  <si>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</si>
  <si>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  <charset val="1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</si>
  <si>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</si>
  <si>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</si>
  <si>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</si>
  <si>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</si>
  <si>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</si>
  <si>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</si>
  <si>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</si>
  <si>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</si>
  <si>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  <charset val="1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  <charset val="1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</si>
  <si>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  <charset val="1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</si>
  <si>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</si>
  <si>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  <charset val="1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</si>
  <si>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  <charset val="1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</si>
  <si>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  <charset val="1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  <charset val="1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</si>
  <si>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  <charset val="1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</si>
  <si>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  <charset val="1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</si>
  <si>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  <charset val="1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</si>
  <si>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</si>
  <si>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  <charset val="1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  <charset val="1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  <charset val="1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  <charset val="1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  <charset val="1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  <charset val="1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  <charset val="1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</si>
  <si>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</si>
  <si>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</si>
  <si>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</si>
  <si>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</si>
  <si>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</si>
  <si>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</si>
  <si>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</si>
  <si>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</si>
  <si>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</si>
  <si>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</si>
  <si>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</si>
  <si>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</si>
  <si>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  <charset val="1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</si>
  <si>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</si>
  <si>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</si>
  <si>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</si>
  <si>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  <charset val="1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</si>
  <si>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  <charset val="1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</si>
  <si>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  <charset val="1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  <charset val="1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  <charset val="1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</si>
  <si>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  <charset val="1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</si>
  <si>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  <charset val="1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</si>
  <si>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  <charset val="1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</si>
  <si>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  <charset val="1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</si>
  <si>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</si>
  <si>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  <charset val="1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</si>
  <si>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  <charset val="1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  <charset val="1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  <charset val="1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  <charset val="1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  <charset val="1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  <charset val="1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</si>
  <si>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  <charset val="1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  <charset val="1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  <charset val="1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  <charset val="1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  <charset val="1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</si>
  <si>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  <charset val="1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  <charset val="1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</si>
  <si>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</si>
  <si>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  <charset val="1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</si>
  <si>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  <charset val="1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</si>
  <si>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  <charset val="1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강세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</si>
  <si>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</si>
  <si>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</si>
  <si>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  <charset val="1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</si>
  <si>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  <charset val="1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  <charset val="1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  <charset val="1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  <charset val="1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  <charset val="1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</si>
  <si>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  <charset val="1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  <charset val="1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  <charset val="1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  <charset val="1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  <charset val="1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</si>
  <si>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  <charset val="1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  <charset val="1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  <charset val="1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</si>
  <si>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  <charset val="1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  <charset val="1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</si>
  <si>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  <charset val="1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  <charset val="1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</si>
  <si>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</si>
  <si>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</si>
  <si>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  <charset val="1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</si>
  <si>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</si>
  <si>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  <charset val="1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</si>
  <si>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  <charset val="1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</si>
  <si>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  <charset val="1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</si>
  <si>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  <charset val="1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  <charset val="1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</si>
  <si>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</si>
  <si>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</si>
  <si>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</si>
  <si>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  <charset val="1"/>
      </rPr>
      <t xml:space="preserve">에너지솔루션</t>
    </r>
  </si>
  <si>
    <r>
      <rPr>
        <i val="true"/>
        <sz val="8"/>
        <color rgb="FF8C8473"/>
        <rFont val="Arial"/>
        <family val="0"/>
        <charset val="1"/>
      </rPr>
      <t xml:space="preserve">EV/EBITDA 26x'25F→19x'26F→15x'27F (stockanalysis·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</si>
  <si>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</si>
  <si>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P/E 20.5x'26E(UBS)·22.5xTTM → EV/EBITDA ~12~14x </t>
    </r>
    <r>
      <rPr>
        <i val="true"/>
        <sz val="8"/>
        <color rgb="FF8C8473"/>
        <rFont val="WenQuanYi Zen Hei"/>
        <family val="2"/>
        <charset val="1"/>
      </rPr>
      <t xml:space="preserve">추정</t>
    </r>
  </si>
  <si>
    <r>
      <rPr>
        <sz val="10"/>
        <color rgb="FF000000"/>
        <rFont val="WenQuanYi Zen Hei"/>
        <family val="2"/>
        <charset val="1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</si>
  <si>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</si>
  <si>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'26 </t>
    </r>
    <r>
      <rPr>
        <i val="true"/>
        <sz val="8"/>
        <color rgb="FF8C8473"/>
        <rFont val="WenQuanYi Zen Hei"/>
        <family val="2"/>
        <charset val="1"/>
      </rPr>
      <t xml:space="preserve">영업손실 예상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)·TTM~87x → n.m.</t>
    </r>
  </si>
  <si>
    <t xml:space="preserve">Fluence</t>
  </si>
  <si>
    <r>
      <rPr>
        <i val="true"/>
        <sz val="8"/>
        <color rgb="FF8C8473"/>
        <rFont val="Arial"/>
        <family val="0"/>
        <charset val="1"/>
      </rPr>
      <t xml:space="preserve">FY26 adjEBITDA $40~60M(</t>
    </r>
    <r>
      <rPr>
        <i val="true"/>
        <sz val="8"/>
        <color rgb="FF8C8473"/>
        <rFont val="WenQuanYi Zen Hei"/>
        <family val="2"/>
        <charset val="1"/>
      </rPr>
      <t xml:space="preserve">가이던스</t>
    </r>
    <r>
      <rPr>
        <i val="true"/>
        <sz val="8"/>
        <color rgb="FF8C8473"/>
        <rFont val="Arial"/>
        <family val="0"/>
        <charset val="1"/>
      </rPr>
      <t xml:space="preserve">) → n.m.</t>
    </r>
  </si>
  <si>
    <r>
      <rPr>
        <sz val="10"/>
        <color rgb="FF000000"/>
        <rFont val="Arial"/>
        <family val="0"/>
        <charset val="1"/>
      </rPr>
      <t xml:space="preserve">Sungrow (</t>
    </r>
    <r>
      <rPr>
        <sz val="10"/>
        <color rgb="FF000000"/>
        <rFont val="WenQuanYi Zen Hei"/>
        <family val="2"/>
        <charset val="1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</si>
  <si>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흑자 </t>
    </r>
    <r>
      <rPr>
        <i val="true"/>
        <sz val="8"/>
        <color rgb="FF8C8473"/>
        <rFont val="Arial"/>
        <family val="0"/>
        <charset val="1"/>
      </rPr>
      <t xml:space="preserve">ESS·</t>
    </r>
    <r>
      <rPr>
        <i val="true"/>
        <sz val="8"/>
        <color rgb="FF8C8473"/>
        <rFont val="WenQuanYi Zen Hei"/>
        <family val="2"/>
        <charset val="1"/>
      </rPr>
      <t xml:space="preserve">시총</t>
    </r>
    <r>
      <rPr>
        <i val="true"/>
        <sz val="8"/>
        <color rgb="FF8C8473"/>
        <rFont val="Arial"/>
        <family val="0"/>
        <charset val="1"/>
      </rPr>
      <t xml:space="preserve">$54.6B/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$12.1B(</t>
    </r>
    <r>
      <rPr>
        <i val="true"/>
        <sz val="8"/>
        <color rgb="FF8C8473"/>
        <rFont val="WenQuanYi Zen Hei"/>
        <family val="2"/>
        <charset val="1"/>
      </rPr>
      <t xml:space="preserve">에너지스토리지뉴스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</si>
  <si>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</si>
  <si>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  <charset val="1"/>
      </rPr>
      <t xml:space="preserve">비교기준 </t>
    </r>
    <r>
      <rPr>
        <i val="true"/>
        <sz val="8"/>
        <color rgb="FF8C8473"/>
        <rFont val="Arial"/>
        <family val="0"/>
        <charset val="1"/>
      </rPr>
      <t xml:space="preserve">(LGES'27F·CATL)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</si>
  <si>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</si>
  <si>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 (LGES'27F 15x)</t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</si>
  <si>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</si>
  <si>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r>
      <rPr>
        <i val="true"/>
        <sz val="8"/>
        <color rgb="FF8C8473"/>
        <rFont val="WenQuanYi Zen Hei"/>
        <family val="2"/>
        <charset val="1"/>
      </rPr>
      <t xml:space="preserve">장기 </t>
    </r>
    <r>
      <rPr>
        <i val="true"/>
        <sz val="8"/>
        <color rgb="FF8C8473"/>
        <rFont val="Arial"/>
        <family val="0"/>
        <charset val="1"/>
      </rPr>
      <t xml:space="preserve">floor </t>
    </r>
    <r>
      <rPr>
        <i val="true"/>
        <sz val="8"/>
        <color rgb="FF8C8473"/>
        <rFont val="WenQuanYi Zen Hei"/>
        <family val="2"/>
        <charset val="1"/>
      </rPr>
      <t xml:space="preserve">가정</t>
    </r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</si>
  <si>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</si>
  <si>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WenQuanYi Zen Hei"/>
        <family val="2"/>
        <charset val="1"/>
      </rPr>
      <t xml:space="preserve">※ 출처</t>
    </r>
    <r>
      <rPr>
        <i val="true"/>
        <sz val="8"/>
        <color rgb="FFC1121F"/>
        <rFont val="Arial"/>
        <family val="0"/>
        <charset val="1"/>
      </rPr>
      <t xml:space="preserve">: stockanalysis·</t>
    </r>
    <r>
      <rPr>
        <i val="true"/>
        <sz val="8"/>
        <color rgb="FFC1121F"/>
        <rFont val="WenQuanYi Zen Hei"/>
        <family val="2"/>
        <charset val="1"/>
      </rPr>
      <t xml:space="preserve">미래에셋</t>
    </r>
    <r>
      <rPr>
        <i val="true"/>
        <sz val="8"/>
        <color rgb="FFC1121F"/>
        <rFont val="Arial"/>
        <family val="0"/>
        <charset val="1"/>
      </rPr>
      <t xml:space="preserve">·UBS·gurufocus·</t>
    </r>
    <r>
      <rPr>
        <i val="true"/>
        <sz val="8"/>
        <color rgb="FFC1121F"/>
        <rFont val="WenQuanYi Zen Hei"/>
        <family val="2"/>
        <charset val="1"/>
      </rPr>
      <t xml:space="preserve">각사 </t>
    </r>
    <r>
      <rPr>
        <i val="true"/>
        <sz val="8"/>
        <color rgb="FFC1121F"/>
        <rFont val="Arial"/>
        <family val="0"/>
        <charset val="1"/>
      </rPr>
      <t xml:space="preserve">IR/</t>
    </r>
    <r>
      <rPr>
        <i val="true"/>
        <sz val="8"/>
        <color rgb="FFC1121F"/>
        <rFont val="WenQuanYi Zen Hei"/>
        <family val="2"/>
        <charset val="1"/>
      </rPr>
      <t xml:space="preserve">가이던스 </t>
    </r>
    <r>
      <rPr>
        <i val="true"/>
        <sz val="8"/>
        <color rgb="FFC1121F"/>
        <rFont val="Arial"/>
        <family val="0"/>
        <charset val="1"/>
      </rPr>
      <t xml:space="preserve">(2026.6~7, </t>
    </r>
    <r>
      <rPr>
        <i val="true"/>
        <sz val="8"/>
        <color rgb="FFC1121F"/>
        <rFont val="WenQuanYi Zen Hei"/>
        <family val="2"/>
        <charset val="1"/>
      </rPr>
      <t xml:space="preserve">웹 검색 스니펫 — </t>
    </r>
    <r>
      <rPr>
        <i val="true"/>
        <sz val="8"/>
        <color rgb="FFC1121F"/>
        <rFont val="Arial"/>
        <family val="0"/>
        <charset val="1"/>
      </rPr>
      <t xml:space="preserve">WebFetch </t>
    </r>
    <r>
      <rPr>
        <i val="true"/>
        <sz val="8"/>
        <color rgb="FFC1121F"/>
        <rFont val="WenQuanYi Zen Hei"/>
        <family val="2"/>
        <charset val="1"/>
      </rPr>
      <t xml:space="preserve">대부분 차단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  <charset val="1"/>
      </rPr>
      <t xml:space="preserve">정밀값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  <charset val="1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</si>
  <si>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C1121F"/>
        <rFont val="WenQuanYi Zen Hei"/>
        <family val="2"/>
        <charset val="1"/>
      </rPr>
      <t xml:space="preserve">※ 섹터가 이익 트로프라 현재 실측은 </t>
    </r>
    <r>
      <rPr>
        <i val="true"/>
        <sz val="8"/>
        <color rgb="FFC1121F"/>
        <rFont val="Arial"/>
        <family val="0"/>
        <charset val="1"/>
      </rPr>
      <t xml:space="preserve">15~27x(LGES) </t>
    </r>
    <r>
      <rPr>
        <i val="true"/>
        <sz val="8"/>
        <color rgb="FFC1121F"/>
        <rFont val="WenQuanYi Zen Hei"/>
        <family val="2"/>
        <charset val="1"/>
      </rPr>
      <t xml:space="preserve">또는 </t>
    </r>
    <r>
      <rPr>
        <i val="true"/>
        <sz val="8"/>
        <color rgb="FFC1121F"/>
        <rFont val="Arial"/>
        <family val="0"/>
        <charset val="1"/>
      </rPr>
      <t xml:space="preserve">n.m.(SDI·Fluence). peer EBITDA</t>
    </r>
    <r>
      <rPr>
        <i val="true"/>
        <sz val="8"/>
        <color rgb="FFC1121F"/>
        <rFont val="WenQuanYi Zen Hei"/>
        <family val="2"/>
        <charset val="1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  <charset val="1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  <charset val="1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</si>
  <si>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  <charset val="1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  <charset val="1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</si>
  <si>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</si>
  <si>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  <charset val="1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  <charset val="1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</si>
  <si>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</si>
  <si>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  <charset val="1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  <charset val="1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</si>
  <si>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</si>
  <si>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</si>
  <si>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</si>
  <si>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</si>
  <si>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</si>
  <si>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</si>
  <si>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  <charset val="1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</si>
  <si>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</si>
  <si>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  <charset val="1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</si>
  <si>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</si>
  <si>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</si>
  <si>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</si>
  <si>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</si>
  <si>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</si>
  <si>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  <charset val="1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</si>
  <si>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  <charset val="1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</si>
  <si>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  <charset val="1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</si>
  <si>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</si>
  <si>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  <charset val="1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</si>
  <si>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  <charset val="1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</si>
  <si>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  <charset val="1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</si>
  <si>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</si>
  <si>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  <charset val="1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  <charset val="1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  <charset val="1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</si>
  <si>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</si>
  <si>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  <charset val="1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  <charset val="1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</si>
  <si>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  <charset val="1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  <charset val="1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  <charset val="1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  <charset val="1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  <charset val="1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</si>
</sst>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  <charset val="1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  <charset val="1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  <charset val="1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  <charset val="1"/>
    </font>
    <font>
      <b val="true"/>
      <i val="true"/>
      <sz val="8.5"/>
      <color rgb="FF7A2230"/>
      <name val="WenQuanYi Zen Hei"/>
      <family val="2"/>
      <charset val="1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  <charset val="1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  <charset val="1"/>
    </font>
    <font>
      <b val="true"/>
      <sz val="10"/>
      <color rgb="FF2E6FA8"/>
      <name val="WenQuanYi Zen Hei"/>
      <family val="2"/>
      <charset val="1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  <charset val="1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  <charset val="1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  <charset val="1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  <charset val="1"/>
    </font>
    <font>
      <b val="true"/>
      <sz val="10"/>
      <color rgb="FF1B1714"/>
      <name val="WenQuanYi Zen Hei"/>
      <family val="2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1B1714"/>
      <name val="WenQuanYi Zen Hei"/>
      <family val="2"/>
      <charset val="1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  <charset val="1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  <charset val="1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468.875</c:v>
                </c:pt>
                <c:pt idx="3">
                  <c:v>1082.675</c:v>
                </c:pt>
                <c:pt idx="4">
                  <c:v>1295.91</c:v>
                </c:pt>
                <c:pt idx="5">
                  <c:v>1395.24</c:v>
                </c:pt>
                <c:pt idx="6">
                  <c:v>1393.15</c:v>
                </c:pt>
                <c:pt idx="7">
                  <c:v>1374.45</c:v>
                </c:pt>
                <c:pt idx="8">
                  <c:v>1355.75</c:v>
                </c:pt>
                <c:pt idx="9">
                  <c:v>1337.05</c:v>
                </c:pt>
                <c:pt idx="10">
                  <c:v>1318.35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34305415"/>
        <c:axId val="66117922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-82.4809072</c:v>
                </c:pt>
                <c:pt idx="2">
                  <c:v>-290.5680646</c:v>
                </c:pt>
                <c:pt idx="3">
                  <c:v>260.81121588</c:v>
                </c:pt>
                <c:pt idx="4">
                  <c:v>1065.01912916</c:v>
                </c:pt>
                <c:pt idx="5">
                  <c:v>1164.9965029</c:v>
                </c:pt>
                <c:pt idx="6">
                  <c:v>957.4576405</c:v>
                </c:pt>
                <c:pt idx="7">
                  <c:v>632.6230063</c:v>
                </c:pt>
                <c:pt idx="8">
                  <c:v>240.4725721</c:v>
                </c:pt>
                <c:pt idx="9">
                  <c:v>237.5158879</c:v>
                </c:pt>
                <c:pt idx="10">
                  <c:v>234.5592037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305415"/>
        <c:axId val="66117922"/>
      </c:lineChart>
      <c:catAx>
        <c:axId val="343054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17922"/>
        <c:crosses val="autoZero"/>
        <c:auto val="1"/>
        <c:lblAlgn val="ctr"/>
        <c:lblOffset val="100"/>
        <c:noMultiLvlLbl val="0"/>
      </c:catAx>
      <c:valAx>
        <c:axId val="661179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054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540720</xdr:colOff>
      <xdr:row>112</xdr:row>
      <xdr:rowOff>167040</xdr:rowOff>
    </xdr:to>
    <xdr:graphicFrame>
      <xdr:nvGraphicFramePr>
        <xdr:cNvPr id="0" name="Chart 1"/>
        <xdr:cNvGraphicFramePr/>
      </xdr:nvGraphicFramePr>
      <xdr:xfrm>
        <a:off x="177840" y="18668880"/>
        <a:ext cx="79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3" customFormat="false" ht="15" hidden="false" customHeight="false" outlineLevel="0" collapsed="false">
      <c r="B3" s="4" t="s">
        <v>2</v>
      </c>
    </row>
    <row r="5" customFormat="false" ht="15" hidden="false" customHeight="false" outlineLevel="0" collapsed="false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B6" s="7" t="s">
        <v>4</v>
      </c>
      <c r="C6" s="8" t="n">
        <v>1</v>
      </c>
      <c r="D6" s="9" t="s">
        <v>5</v>
      </c>
    </row>
    <row r="7" customFormat="false" ht="15" hidden="false" customHeight="false" outlineLevel="0" collapsed="false">
      <c r="B7" s="7" t="s">
        <v>6</v>
      </c>
      <c r="C7" s="10" t="n">
        <v>2</v>
      </c>
      <c r="D7" s="11" t="s">
        <v>7</v>
      </c>
    </row>
    <row r="8" customFormat="false" ht="15" hidden="false" customHeight="false" outlineLevel="0" collapsed="false">
      <c r="B8" s="7" t="s">
        <v>8</v>
      </c>
      <c r="C8" s="11" t="s">
        <v>9</v>
      </c>
      <c r="D8" s="12" t="n">
        <v>0</v>
      </c>
      <c r="E8" s="12" t="n">
        <v>45</v>
      </c>
      <c r="F8" s="12" t="n">
        <v>45</v>
      </c>
      <c r="G8" s="12" t="n">
        <v>45</v>
      </c>
      <c r="H8" s="12" t="n">
        <v>33.75</v>
      </c>
      <c r="I8" s="12" t="n">
        <v>22.5</v>
      </c>
      <c r="J8" s="12" t="n">
        <v>11.25</v>
      </c>
      <c r="K8" s="12" t="n">
        <v>0</v>
      </c>
      <c r="L8" s="12" t="n">
        <v>0</v>
      </c>
      <c r="M8" s="12" t="n">
        <v>0</v>
      </c>
    </row>
    <row r="10" customFormat="false" ht="15" hidden="false" customHeight="false" outlineLevel="0" collapsed="false">
      <c r="B10" s="13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5" t="s">
        <v>11</v>
      </c>
    </row>
    <row r="12" customFormat="false" ht="15" hidden="false" customHeight="false" outlineLevel="0" collapsed="false">
      <c r="B12" s="16" t="s">
        <v>12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19" t="s">
        <v>23</v>
      </c>
      <c r="C13" s="11" t="s">
        <v>24</v>
      </c>
      <c r="D13" s="20" t="n">
        <v>52</v>
      </c>
      <c r="E13" s="20" t="n">
        <v>50</v>
      </c>
      <c r="F13" s="20" t="n">
        <v>48</v>
      </c>
      <c r="G13" s="20" t="n">
        <v>46</v>
      </c>
      <c r="H13" s="20" t="n">
        <v>45</v>
      </c>
      <c r="I13" s="20" t="n">
        <v>44</v>
      </c>
      <c r="J13" s="20" t="n">
        <v>43</v>
      </c>
      <c r="K13" s="20" t="n">
        <v>43</v>
      </c>
      <c r="L13" s="20" t="n">
        <v>42</v>
      </c>
      <c r="M13" s="20" t="n">
        <v>42</v>
      </c>
    </row>
    <row r="14" customFormat="false" ht="15" hidden="false" customHeight="false" outlineLevel="0" collapsed="false">
      <c r="B14" s="19" t="s">
        <v>25</v>
      </c>
      <c r="C14" s="9" t="s">
        <v>26</v>
      </c>
      <c r="D14" s="21" t="n">
        <v>0.034</v>
      </c>
      <c r="E14" s="21" t="n">
        <v>0.034</v>
      </c>
      <c r="F14" s="21" t="n">
        <v>0.034</v>
      </c>
      <c r="G14" s="21" t="n">
        <v>0.034</v>
      </c>
      <c r="H14" s="21" t="n">
        <v>0.034</v>
      </c>
      <c r="I14" s="21" t="n">
        <v>0.034</v>
      </c>
      <c r="J14" s="21" t="n">
        <v>0.034</v>
      </c>
      <c r="K14" s="21" t="n">
        <v>0.034</v>
      </c>
      <c r="L14" s="21" t="n">
        <v>0.034</v>
      </c>
      <c r="M14" s="21" t="n">
        <v>0.034</v>
      </c>
    </row>
    <row r="15" customFormat="false" ht="15" hidden="false" customHeight="false" outlineLevel="0" collapsed="false">
      <c r="B15" s="19" t="s">
        <v>27</v>
      </c>
      <c r="C15" s="11" t="s">
        <v>28</v>
      </c>
      <c r="D15" s="21" t="n">
        <v>0.1</v>
      </c>
      <c r="E15" s="21" t="n">
        <v>0.1</v>
      </c>
      <c r="F15" s="21" t="n">
        <v>0.1</v>
      </c>
      <c r="G15" s="21" t="n">
        <v>0.1</v>
      </c>
      <c r="H15" s="21" t="n">
        <v>0.1</v>
      </c>
      <c r="I15" s="21" t="n">
        <v>0.1</v>
      </c>
      <c r="J15" s="21" t="n">
        <v>0.1</v>
      </c>
      <c r="K15" s="21" t="n">
        <v>0.1</v>
      </c>
      <c r="L15" s="21" t="n">
        <v>0.1</v>
      </c>
      <c r="M15" s="21" t="n">
        <v>0.1</v>
      </c>
    </row>
    <row r="16" customFormat="false" ht="15" hidden="false" customHeight="false" outlineLevel="0" collapsed="false">
      <c r="B16" s="19" t="s">
        <v>29</v>
      </c>
      <c r="D16" s="21" t="n">
        <v>0.2</v>
      </c>
      <c r="E16" s="21" t="n">
        <v>0.2</v>
      </c>
      <c r="F16" s="21" t="n">
        <v>0.2</v>
      </c>
      <c r="G16" s="21" t="n">
        <v>0.2</v>
      </c>
      <c r="H16" s="21" t="n">
        <v>0.2</v>
      </c>
      <c r="I16" s="21" t="n">
        <v>0.2</v>
      </c>
      <c r="J16" s="21" t="n">
        <v>0.2</v>
      </c>
      <c r="K16" s="21" t="n">
        <v>0.2</v>
      </c>
      <c r="L16" s="21" t="n">
        <v>0.2</v>
      </c>
      <c r="M16" s="21" t="n">
        <v>0.2</v>
      </c>
    </row>
    <row r="17" customFormat="false" ht="15" hidden="false" customHeight="false" outlineLevel="0" collapsed="false">
      <c r="B17" s="22" t="s">
        <v>30</v>
      </c>
      <c r="C17" s="11" t="s">
        <v>31</v>
      </c>
      <c r="D17" s="21" t="n">
        <v>0.25</v>
      </c>
      <c r="E17" s="21" t="n">
        <v>0.25</v>
      </c>
      <c r="F17" s="21" t="n">
        <v>0.25</v>
      </c>
      <c r="G17" s="21" t="n">
        <v>0.25</v>
      </c>
      <c r="H17" s="21" t="n">
        <v>0.25</v>
      </c>
      <c r="I17" s="21" t="n">
        <v>0.25</v>
      </c>
      <c r="J17" s="21" t="n">
        <v>0.25</v>
      </c>
      <c r="K17" s="21" t="n">
        <v>0.25</v>
      </c>
      <c r="L17" s="21" t="n">
        <v>0.25</v>
      </c>
      <c r="M17" s="21" t="n">
        <v>0.25</v>
      </c>
    </row>
    <row r="18" customFormat="false" ht="15" hidden="false" customHeight="false" outlineLevel="0" collapsed="false">
      <c r="B18" s="23" t="s">
        <v>32</v>
      </c>
      <c r="C18" s="9" t="s">
        <v>33</v>
      </c>
      <c r="D18" s="24" t="n">
        <f aca="false">D14+D15+D16+D17</f>
        <v>0.584</v>
      </c>
      <c r="E18" s="24" t="n">
        <f aca="false">E14+E15+E16+E17</f>
        <v>0.584</v>
      </c>
      <c r="F18" s="24" t="n">
        <f aca="false">F14+F15+F16+F17</f>
        <v>0.584</v>
      </c>
      <c r="G18" s="24" t="n">
        <f aca="false">G14+G15+G16+G17</f>
        <v>0.584</v>
      </c>
      <c r="H18" s="24" t="n">
        <f aca="false">H14+H15+H16+H17</f>
        <v>0.584</v>
      </c>
      <c r="I18" s="24" t="n">
        <f aca="false">I14+I15+I16+I17</f>
        <v>0.584</v>
      </c>
      <c r="J18" s="24" t="n">
        <f aca="false">J14+J15+J16+J17</f>
        <v>0.584</v>
      </c>
      <c r="K18" s="24" t="n">
        <f aca="false">K14+K15+K16+K17</f>
        <v>0.584</v>
      </c>
      <c r="L18" s="24" t="n">
        <f aca="false">L14+L15+L16+L17</f>
        <v>0.584</v>
      </c>
      <c r="M18" s="24" t="n">
        <f aca="false">M14+M15+M16+M17</f>
        <v>0.584</v>
      </c>
    </row>
    <row r="19" customFormat="false" ht="15" hidden="false" customHeight="false" outlineLevel="0" collapsed="false">
      <c r="B19" s="25" t="s">
        <v>34</v>
      </c>
      <c r="C19" s="9" t="s">
        <v>35</v>
      </c>
      <c r="D19" s="26" t="n">
        <f aca="false">D13*(1+D18)</f>
        <v>82.368</v>
      </c>
      <c r="E19" s="26" t="n">
        <f aca="false">E13*(1+E18)</f>
        <v>79.2</v>
      </c>
      <c r="F19" s="26" t="n">
        <f aca="false">F13*(1+F18)</f>
        <v>76.032</v>
      </c>
      <c r="G19" s="26" t="n">
        <f aca="false">G13*(1+G18)</f>
        <v>72.864</v>
      </c>
      <c r="H19" s="26" t="n">
        <f aca="false">H13*(1+H18)</f>
        <v>71.28</v>
      </c>
      <c r="I19" s="26" t="n">
        <f aca="false">I13*(1+I18)</f>
        <v>69.696</v>
      </c>
      <c r="J19" s="26" t="n">
        <f aca="false">J13*(1+J18)</f>
        <v>68.112</v>
      </c>
      <c r="K19" s="26" t="n">
        <f aca="false">K13*(1+K18)</f>
        <v>68.112</v>
      </c>
      <c r="L19" s="26" t="n">
        <f aca="false">L13*(1+L18)</f>
        <v>66.528</v>
      </c>
      <c r="M19" s="26" t="n">
        <f aca="false">M13*(1+M18)</f>
        <v>66.528</v>
      </c>
    </row>
    <row r="20" customFormat="false" ht="15" hidden="false" customHeight="false" outlineLevel="0" collapsed="false">
      <c r="B20" s="19" t="s">
        <v>36</v>
      </c>
      <c r="C20" s="9" t="s">
        <v>37</v>
      </c>
      <c r="D20" s="21" t="n">
        <v>0.2</v>
      </c>
      <c r="E20" s="21" t="n">
        <v>0.2</v>
      </c>
      <c r="F20" s="21" t="n">
        <v>0.2</v>
      </c>
      <c r="G20" s="21" t="n">
        <v>0.2</v>
      </c>
      <c r="H20" s="21" t="n">
        <v>0.2</v>
      </c>
      <c r="I20" s="21" t="n">
        <v>0.2</v>
      </c>
      <c r="J20" s="21" t="n">
        <v>0.2</v>
      </c>
      <c r="K20" s="21" t="n">
        <v>0.2</v>
      </c>
      <c r="L20" s="21" t="n">
        <v>0.2</v>
      </c>
      <c r="M20" s="21" t="n">
        <v>0.2</v>
      </c>
    </row>
    <row r="21" customFormat="false" ht="15" hidden="false" customHeight="false" outlineLevel="0" collapsed="false">
      <c r="B21" s="27" t="s">
        <v>38</v>
      </c>
      <c r="C21" s="9" t="s">
        <v>39</v>
      </c>
      <c r="D21" s="28" t="n">
        <f aca="false">D19*(1+D20)</f>
        <v>98.8416</v>
      </c>
      <c r="E21" s="28" t="n">
        <f aca="false">E19*(1+E20)</f>
        <v>95.04</v>
      </c>
      <c r="F21" s="28" t="n">
        <f aca="false">F19*(1+F20)</f>
        <v>91.2384</v>
      </c>
      <c r="G21" s="28" t="n">
        <f aca="false">G19*(1+G20)</f>
        <v>87.4368</v>
      </c>
      <c r="H21" s="28" t="n">
        <f aca="false">H19*(1+H20)</f>
        <v>85.536</v>
      </c>
      <c r="I21" s="28" t="n">
        <f aca="false">I19*(1+I20)</f>
        <v>83.6352</v>
      </c>
      <c r="J21" s="28" t="n">
        <f aca="false">J19*(1+J20)</f>
        <v>81.7344</v>
      </c>
      <c r="K21" s="28" t="n">
        <f aca="false">K19*(1+K20)</f>
        <v>81.7344</v>
      </c>
      <c r="L21" s="28" t="n">
        <f aca="false">L19*(1+L20)</f>
        <v>79.8336</v>
      </c>
      <c r="M21" s="28" t="n">
        <f aca="false">M19*(1+M20)</f>
        <v>79.8336</v>
      </c>
    </row>
    <row r="22" customFormat="false" ht="15" hidden="false" customHeight="false" outlineLevel="0" collapsed="false">
      <c r="B22" s="22" t="s">
        <v>40</v>
      </c>
      <c r="C22" s="11" t="s">
        <v>41</v>
      </c>
      <c r="D22" s="20" t="n">
        <v>0</v>
      </c>
      <c r="E22" s="20" t="n">
        <v>155</v>
      </c>
      <c r="F22" s="20" t="n">
        <v>155</v>
      </c>
      <c r="G22" s="20" t="n">
        <v>153</v>
      </c>
      <c r="H22" s="20" t="n">
        <v>151</v>
      </c>
      <c r="I22" s="20" t="n">
        <v>149</v>
      </c>
      <c r="J22" s="20" t="n">
        <v>147</v>
      </c>
      <c r="K22" s="20" t="n">
        <v>145</v>
      </c>
      <c r="L22" s="20" t="n">
        <v>143</v>
      </c>
      <c r="M22" s="20" t="n">
        <v>141</v>
      </c>
    </row>
    <row r="23" customFormat="false" ht="15" hidden="false" customHeight="false" outlineLevel="0" collapsed="false">
      <c r="B23" s="22" t="s">
        <v>42</v>
      </c>
      <c r="C23" s="11" t="s">
        <v>43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</row>
    <row r="24" customFormat="false" ht="15" hidden="false" customHeight="false" outlineLevel="0" collapsed="false">
      <c r="B24" s="29" t="s">
        <v>44</v>
      </c>
      <c r="D24" s="30" t="n">
        <f aca="false">IF($C$7=2,D23,0)</f>
        <v>0</v>
      </c>
      <c r="E24" s="30" t="n">
        <f aca="false">IF($C$7=2,E23,0)</f>
        <v>0</v>
      </c>
      <c r="F24" s="30" t="n">
        <f aca="false">IF($C$7=2,F23,0)</f>
        <v>0</v>
      </c>
      <c r="G24" s="30" t="n">
        <f aca="false">IF($C$7=2,G23,0)</f>
        <v>0</v>
      </c>
      <c r="H24" s="30" t="n">
        <f aca="false">IF($C$7=2,H23,0)</f>
        <v>0</v>
      </c>
      <c r="I24" s="30" t="n">
        <f aca="false">IF($C$7=2,I23,0)</f>
        <v>0</v>
      </c>
      <c r="J24" s="30" t="n">
        <f aca="false">IF($C$7=2,J23,0)</f>
        <v>0</v>
      </c>
      <c r="K24" s="30" t="n">
        <f aca="false">IF($C$7=2,K23,0)</f>
        <v>0</v>
      </c>
      <c r="L24" s="30" t="n">
        <f aca="false">IF($C$7=2,L23,0)</f>
        <v>0</v>
      </c>
      <c r="M24" s="30" t="n">
        <f aca="false">IF($C$7=2,M23,0)</f>
        <v>0</v>
      </c>
    </row>
    <row r="25" customFormat="false" ht="15" hidden="false" customHeight="false" outlineLevel="0" collapsed="false">
      <c r="B25" s="31" t="s">
        <v>45</v>
      </c>
      <c r="C25" s="9" t="s">
        <v>46</v>
      </c>
      <c r="D25" s="32" t="n">
        <f aca="false">IF($C$7=2,D22,D21)</f>
        <v>0</v>
      </c>
      <c r="E25" s="32" t="n">
        <f aca="false">IF($C$7=2,E22,E21)</f>
        <v>155</v>
      </c>
      <c r="F25" s="32" t="n">
        <f aca="false">IF($C$7=2,F22,F21)</f>
        <v>155</v>
      </c>
      <c r="G25" s="32" t="n">
        <f aca="false">IF($C$7=2,G22,G21)</f>
        <v>153</v>
      </c>
      <c r="H25" s="32" t="n">
        <f aca="false">IF($C$7=2,H22,H21)</f>
        <v>151</v>
      </c>
      <c r="I25" s="32" t="n">
        <f aca="false">IF($C$7=2,I22,I21)</f>
        <v>149</v>
      </c>
      <c r="J25" s="32" t="n">
        <f aca="false">IF($C$7=2,J22,J21)</f>
        <v>147</v>
      </c>
      <c r="K25" s="32" t="n">
        <f aca="false">IF($C$7=2,K22,K21)</f>
        <v>145</v>
      </c>
      <c r="L25" s="32" t="n">
        <f aca="false">IF($C$7=2,L22,L21)</f>
        <v>143</v>
      </c>
      <c r="M25" s="32" t="n">
        <f aca="false">IF($C$7=2,M22,M21)</f>
        <v>141</v>
      </c>
    </row>
    <row r="27" customFormat="false" ht="15" hidden="false" customHeight="false" outlineLevel="0" collapsed="false">
      <c r="B27" s="33" t="s">
        <v>47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</row>
    <row r="28" customFormat="false" ht="15" hidden="false" customHeight="false" outlineLevel="0" collapsed="false">
      <c r="B28" s="16" t="s">
        <v>48</v>
      </c>
      <c r="C28" s="17"/>
      <c r="D28" s="18" t="s">
        <v>13</v>
      </c>
      <c r="E28" s="18" t="s">
        <v>14</v>
      </c>
      <c r="F28" s="18" t="s">
        <v>15</v>
      </c>
      <c r="G28" s="18" t="s">
        <v>16</v>
      </c>
      <c r="H28" s="18" t="s">
        <v>17</v>
      </c>
      <c r="I28" s="18" t="s">
        <v>18</v>
      </c>
      <c r="J28" s="18" t="s">
        <v>19</v>
      </c>
      <c r="K28" s="18" t="s">
        <v>20</v>
      </c>
      <c r="L28" s="18" t="s">
        <v>21</v>
      </c>
      <c r="M28" s="18" t="s">
        <v>22</v>
      </c>
    </row>
    <row r="29" customFormat="false" ht="15" hidden="false" customHeight="false" outlineLevel="0" collapsed="false">
      <c r="B29" s="35" t="s">
        <v>49</v>
      </c>
    </row>
    <row r="30" customFormat="false" ht="15" hidden="false" customHeight="false" outlineLevel="0" collapsed="false">
      <c r="B30" s="22" t="s">
        <v>50</v>
      </c>
      <c r="C30" s="9" t="s">
        <v>51</v>
      </c>
      <c r="D30" s="36" t="n">
        <v>0</v>
      </c>
      <c r="E30" s="37" t="n">
        <v>2.75</v>
      </c>
      <c r="F30" s="37" t="n">
        <v>2.75</v>
      </c>
      <c r="G30" s="37" t="n">
        <v>2.75</v>
      </c>
      <c r="H30" s="37" t="n">
        <v>2.75</v>
      </c>
      <c r="I30" s="37" t="n">
        <v>2.75</v>
      </c>
      <c r="J30" s="37" t="n">
        <v>2.75</v>
      </c>
      <c r="K30" s="37" t="n">
        <v>2.75</v>
      </c>
      <c r="L30" s="37" t="n">
        <v>2.75</v>
      </c>
      <c r="M30" s="37" t="n">
        <v>2.75</v>
      </c>
    </row>
    <row r="31" customFormat="false" ht="15" hidden="false" customHeight="false" outlineLevel="0" collapsed="false">
      <c r="B31" s="19" t="s">
        <v>52</v>
      </c>
      <c r="D31" s="21" t="n">
        <v>0</v>
      </c>
      <c r="E31" s="21" t="n">
        <v>0.55</v>
      </c>
      <c r="F31" s="21" t="n">
        <v>0.72</v>
      </c>
      <c r="G31" s="21" t="n">
        <v>0.82</v>
      </c>
      <c r="H31" s="21" t="n">
        <v>0.85</v>
      </c>
      <c r="I31" s="21" t="n">
        <v>0.85</v>
      </c>
      <c r="J31" s="21" t="n">
        <v>0.85</v>
      </c>
      <c r="K31" s="21" t="n">
        <v>0.85</v>
      </c>
      <c r="L31" s="21" t="n">
        <v>0.85</v>
      </c>
      <c r="M31" s="21" t="n">
        <v>0.85</v>
      </c>
    </row>
    <row r="32" customFormat="false" ht="15" hidden="false" customHeight="false" outlineLevel="0" collapsed="false">
      <c r="B32" s="22" t="s">
        <v>53</v>
      </c>
      <c r="C32" s="9" t="s">
        <v>54</v>
      </c>
      <c r="D32" s="38" t="n">
        <f aca="false">D30*D31*$C$6</f>
        <v>0</v>
      </c>
      <c r="E32" s="38" t="n">
        <f aca="false">E30*E31*$C$6</f>
        <v>1.5125</v>
      </c>
      <c r="F32" s="38" t="n">
        <f aca="false">F30*F31*$C$6</f>
        <v>1.98</v>
      </c>
      <c r="G32" s="38" t="n">
        <f aca="false">G30*G31*$C$6</f>
        <v>2.255</v>
      </c>
      <c r="H32" s="38" t="n">
        <f aca="false">H30*H31*$C$6</f>
        <v>2.3375</v>
      </c>
      <c r="I32" s="38" t="n">
        <f aca="false">I30*I31*$C$6</f>
        <v>2.3375</v>
      </c>
      <c r="J32" s="38" t="n">
        <f aca="false">J30*J31*$C$6</f>
        <v>2.3375</v>
      </c>
      <c r="K32" s="38" t="n">
        <f aca="false">K30*K31*$C$6</f>
        <v>2.3375</v>
      </c>
      <c r="L32" s="38" t="n">
        <f aca="false">L30*L31*$C$6</f>
        <v>2.3375</v>
      </c>
      <c r="M32" s="38" t="n">
        <f aca="false">M30*M31*$C$6</f>
        <v>2.3375</v>
      </c>
    </row>
    <row r="33" customFormat="false" ht="15" hidden="false" customHeight="false" outlineLevel="0" collapsed="false">
      <c r="B33" s="22" t="s">
        <v>55</v>
      </c>
      <c r="C33" s="9" t="s">
        <v>51</v>
      </c>
      <c r="D33" s="36" t="n">
        <v>0</v>
      </c>
      <c r="E33" s="37" t="n">
        <v>2.75</v>
      </c>
      <c r="F33" s="37" t="n">
        <v>2.75</v>
      </c>
      <c r="G33" s="37" t="n">
        <v>2.75</v>
      </c>
      <c r="H33" s="37" t="n">
        <v>2.75</v>
      </c>
      <c r="I33" s="37" t="n">
        <v>2.75</v>
      </c>
      <c r="J33" s="37" t="n">
        <v>2.75</v>
      </c>
      <c r="K33" s="37" t="n">
        <v>2.75</v>
      </c>
      <c r="L33" s="37" t="n">
        <v>2.75</v>
      </c>
      <c r="M33" s="37" t="n">
        <v>2.75</v>
      </c>
    </row>
    <row r="34" customFormat="false" ht="15" hidden="false" customHeight="false" outlineLevel="0" collapsed="false">
      <c r="B34" s="19" t="s">
        <v>52</v>
      </c>
      <c r="D34" s="21" t="n">
        <v>0</v>
      </c>
      <c r="E34" s="21" t="n">
        <v>0.55</v>
      </c>
      <c r="F34" s="21" t="n">
        <v>0.72</v>
      </c>
      <c r="G34" s="21" t="n">
        <v>0.82</v>
      </c>
      <c r="H34" s="21" t="n">
        <v>0.85</v>
      </c>
      <c r="I34" s="21" t="n">
        <v>0.85</v>
      </c>
      <c r="J34" s="21" t="n">
        <v>0.85</v>
      </c>
      <c r="K34" s="21" t="n">
        <v>0.85</v>
      </c>
      <c r="L34" s="21" t="n">
        <v>0.85</v>
      </c>
      <c r="M34" s="21" t="n">
        <v>0.85</v>
      </c>
    </row>
    <row r="35" customFormat="false" ht="15" hidden="false" customHeight="false" outlineLevel="0" collapsed="false">
      <c r="B35" s="22" t="s">
        <v>53</v>
      </c>
      <c r="C35" s="9" t="s">
        <v>54</v>
      </c>
      <c r="D35" s="38" t="n">
        <f aca="false">D33*D34*$C$6</f>
        <v>0</v>
      </c>
      <c r="E35" s="38" t="n">
        <f aca="false">E33*E34*$C$6</f>
        <v>1.5125</v>
      </c>
      <c r="F35" s="38" t="n">
        <f aca="false">F33*F34*$C$6</f>
        <v>1.98</v>
      </c>
      <c r="G35" s="38" t="n">
        <f aca="false">G33*G34*$C$6</f>
        <v>2.255</v>
      </c>
      <c r="H35" s="38" t="n">
        <f aca="false">H33*H34*$C$6</f>
        <v>2.3375</v>
      </c>
      <c r="I35" s="38" t="n">
        <f aca="false">I33*I34*$C$6</f>
        <v>2.3375</v>
      </c>
      <c r="J35" s="38" t="n">
        <f aca="false">J33*J34*$C$6</f>
        <v>2.3375</v>
      </c>
      <c r="K35" s="38" t="n">
        <f aca="false">K33*K34*$C$6</f>
        <v>2.3375</v>
      </c>
      <c r="L35" s="38" t="n">
        <f aca="false">L33*L34*$C$6</f>
        <v>2.3375</v>
      </c>
      <c r="M35" s="38" t="n">
        <f aca="false">M33*M34*$C$6</f>
        <v>2.3375</v>
      </c>
    </row>
    <row r="36" customFormat="false" ht="15" hidden="false" customHeight="false" outlineLevel="0" collapsed="false">
      <c r="B36" s="35" t="s">
        <v>56</v>
      </c>
    </row>
    <row r="37" customFormat="false" ht="15" hidden="false" customHeight="false" outlineLevel="0" collapsed="false">
      <c r="B37" s="22" t="s">
        <v>57</v>
      </c>
      <c r="C37" s="9" t="s">
        <v>58</v>
      </c>
      <c r="D37" s="36" t="n">
        <v>0</v>
      </c>
      <c r="E37" s="36" t="n">
        <v>0</v>
      </c>
      <c r="F37" s="37" t="n">
        <v>2.75</v>
      </c>
      <c r="G37" s="37" t="n">
        <v>2.75</v>
      </c>
      <c r="H37" s="37" t="n">
        <v>2.75</v>
      </c>
      <c r="I37" s="37" t="n">
        <v>2.75</v>
      </c>
      <c r="J37" s="37" t="n">
        <v>2.75</v>
      </c>
      <c r="K37" s="37" t="n">
        <v>2.75</v>
      </c>
      <c r="L37" s="37" t="n">
        <v>2.75</v>
      </c>
      <c r="M37" s="37" t="n">
        <v>2.75</v>
      </c>
    </row>
    <row r="38" customFormat="false" ht="15" hidden="false" customHeight="false" outlineLevel="0" collapsed="false">
      <c r="B38" s="19" t="s">
        <v>52</v>
      </c>
      <c r="D38" s="21" t="n">
        <v>0</v>
      </c>
      <c r="E38" s="21" t="n">
        <v>0</v>
      </c>
      <c r="F38" s="21" t="n">
        <v>0.55</v>
      </c>
      <c r="G38" s="21" t="n">
        <v>0.72</v>
      </c>
      <c r="H38" s="21" t="n">
        <v>0.83</v>
      </c>
      <c r="I38" s="21" t="n">
        <v>0.85</v>
      </c>
      <c r="J38" s="21" t="n">
        <v>0.85</v>
      </c>
      <c r="K38" s="21" t="n">
        <v>0.85</v>
      </c>
      <c r="L38" s="21" t="n">
        <v>0.85</v>
      </c>
      <c r="M38" s="21" t="n">
        <v>0.85</v>
      </c>
    </row>
    <row r="39" customFormat="false" ht="15" hidden="false" customHeight="false" outlineLevel="0" collapsed="false">
      <c r="B39" s="22" t="s">
        <v>53</v>
      </c>
      <c r="C39" s="9" t="s">
        <v>54</v>
      </c>
      <c r="D39" s="38" t="n">
        <f aca="false">D37*D38*$C$6</f>
        <v>0</v>
      </c>
      <c r="E39" s="38" t="n">
        <f aca="false">E37*E38*$C$6</f>
        <v>0</v>
      </c>
      <c r="F39" s="38" t="n">
        <f aca="false">F37*F38*$C$6</f>
        <v>1.5125</v>
      </c>
      <c r="G39" s="38" t="n">
        <f aca="false">G37*G38*$C$6</f>
        <v>1.98</v>
      </c>
      <c r="H39" s="38" t="n">
        <f aca="false">H37*H38*$C$6</f>
        <v>2.2825</v>
      </c>
      <c r="I39" s="38" t="n">
        <f aca="false">I37*I38*$C$6</f>
        <v>2.3375</v>
      </c>
      <c r="J39" s="38" t="n">
        <f aca="false">J37*J38*$C$6</f>
        <v>2.3375</v>
      </c>
      <c r="K39" s="38" t="n">
        <f aca="false">K37*K38*$C$6</f>
        <v>2.3375</v>
      </c>
      <c r="L39" s="38" t="n">
        <f aca="false">L37*L38*$C$6</f>
        <v>2.3375</v>
      </c>
      <c r="M39" s="38" t="n">
        <f aca="false">M37*M38*$C$6</f>
        <v>2.3375</v>
      </c>
    </row>
    <row r="40" customFormat="false" ht="15" hidden="false" customHeight="false" outlineLevel="0" collapsed="false">
      <c r="B40" s="22" t="s">
        <v>59</v>
      </c>
      <c r="C40" s="9" t="s">
        <v>58</v>
      </c>
      <c r="D40" s="36" t="n">
        <v>0</v>
      </c>
      <c r="E40" s="36" t="n">
        <v>0</v>
      </c>
      <c r="F40" s="37" t="n">
        <v>2.75</v>
      </c>
      <c r="G40" s="37" t="n">
        <v>2.75</v>
      </c>
      <c r="H40" s="37" t="n">
        <v>2.75</v>
      </c>
      <c r="I40" s="37" t="n">
        <v>2.75</v>
      </c>
      <c r="J40" s="37" t="n">
        <v>2.75</v>
      </c>
      <c r="K40" s="37" t="n">
        <v>2.75</v>
      </c>
      <c r="L40" s="37" t="n">
        <v>2.75</v>
      </c>
      <c r="M40" s="37" t="n">
        <v>2.75</v>
      </c>
    </row>
    <row r="41" customFormat="false" ht="15" hidden="false" customHeight="false" outlineLevel="0" collapsed="false">
      <c r="B41" s="19" t="s">
        <v>52</v>
      </c>
      <c r="D41" s="21" t="n">
        <v>0</v>
      </c>
      <c r="E41" s="21" t="n">
        <v>0</v>
      </c>
      <c r="F41" s="21" t="n">
        <v>0.55</v>
      </c>
      <c r="G41" s="21" t="n">
        <v>0.72</v>
      </c>
      <c r="H41" s="21" t="n">
        <v>0.83</v>
      </c>
      <c r="I41" s="21" t="n">
        <v>0.85</v>
      </c>
      <c r="J41" s="21" t="n">
        <v>0.85</v>
      </c>
      <c r="K41" s="21" t="n">
        <v>0.85</v>
      </c>
      <c r="L41" s="21" t="n">
        <v>0.85</v>
      </c>
      <c r="M41" s="21" t="n">
        <v>0.85</v>
      </c>
    </row>
    <row r="42" customFormat="false" ht="15" hidden="false" customHeight="false" outlineLevel="0" collapsed="false">
      <c r="B42" s="22" t="s">
        <v>53</v>
      </c>
      <c r="C42" s="9" t="s">
        <v>54</v>
      </c>
      <c r="D42" s="38" t="n">
        <f aca="false">D40*D41*$C$6</f>
        <v>0</v>
      </c>
      <c r="E42" s="38" t="n">
        <f aca="false">E40*E41*$C$6</f>
        <v>0</v>
      </c>
      <c r="F42" s="38" t="n">
        <f aca="false">F40*F41*$C$6</f>
        <v>1.5125</v>
      </c>
      <c r="G42" s="38" t="n">
        <f aca="false">G40*G41*$C$6</f>
        <v>1.98</v>
      </c>
      <c r="H42" s="38" t="n">
        <f aca="false">H40*H41*$C$6</f>
        <v>2.2825</v>
      </c>
      <c r="I42" s="38" t="n">
        <f aca="false">I40*I41*$C$6</f>
        <v>2.3375</v>
      </c>
      <c r="J42" s="38" t="n">
        <f aca="false">J40*J41*$C$6</f>
        <v>2.3375</v>
      </c>
      <c r="K42" s="38" t="n">
        <f aca="false">K40*K41*$C$6</f>
        <v>2.3375</v>
      </c>
      <c r="L42" s="38" t="n">
        <f aca="false">L40*L41*$C$6</f>
        <v>2.3375</v>
      </c>
      <c r="M42" s="38" t="n">
        <f aca="false">M40*M41*$C$6</f>
        <v>2.3375</v>
      </c>
    </row>
    <row r="43" customFormat="false" ht="15" hidden="false" customHeight="false" outlineLevel="0" collapsed="false">
      <c r="B43" s="7" t="s">
        <v>60</v>
      </c>
      <c r="C43" s="9" t="s">
        <v>61</v>
      </c>
      <c r="D43" s="38" t="n">
        <f aca="false">D32+D35</f>
        <v>0</v>
      </c>
      <c r="E43" s="38" t="n">
        <f aca="false">E32+E35</f>
        <v>3.025</v>
      </c>
      <c r="F43" s="38" t="n">
        <f aca="false">F32+F35</f>
        <v>3.96</v>
      </c>
      <c r="G43" s="38" t="n">
        <f aca="false">G32+G35</f>
        <v>4.51</v>
      </c>
      <c r="H43" s="38" t="n">
        <f aca="false">H32+H35</f>
        <v>4.675</v>
      </c>
      <c r="I43" s="38" t="n">
        <f aca="false">I32+I35</f>
        <v>4.675</v>
      </c>
      <c r="J43" s="38" t="n">
        <f aca="false">J32+J35</f>
        <v>4.675</v>
      </c>
      <c r="K43" s="38" t="n">
        <f aca="false">K32+K35</f>
        <v>4.675</v>
      </c>
      <c r="L43" s="38" t="n">
        <f aca="false">L32+L35</f>
        <v>4.675</v>
      </c>
      <c r="M43" s="38" t="n">
        <f aca="false">M32+M35</f>
        <v>4.675</v>
      </c>
    </row>
    <row r="44" customFormat="false" ht="15" hidden="false" customHeight="false" outlineLevel="0" collapsed="false">
      <c r="B44" s="7" t="s">
        <v>62</v>
      </c>
      <c r="C44" s="9" t="s">
        <v>63</v>
      </c>
      <c r="D44" s="38" t="n">
        <f aca="false">D39+D42</f>
        <v>0</v>
      </c>
      <c r="E44" s="38" t="n">
        <f aca="false">E39+E42</f>
        <v>0</v>
      </c>
      <c r="F44" s="38" t="n">
        <f aca="false">F39+F42</f>
        <v>3.025</v>
      </c>
      <c r="G44" s="38" t="n">
        <f aca="false">G39+G42</f>
        <v>3.96</v>
      </c>
      <c r="H44" s="38" t="n">
        <f aca="false">H39+H42</f>
        <v>4.565</v>
      </c>
      <c r="I44" s="38" t="n">
        <f aca="false">I39+I42</f>
        <v>4.675</v>
      </c>
      <c r="J44" s="38" t="n">
        <f aca="false">J39+J42</f>
        <v>4.675</v>
      </c>
      <c r="K44" s="38" t="n">
        <f aca="false">K39+K42</f>
        <v>4.675</v>
      </c>
      <c r="L44" s="38" t="n">
        <f aca="false">L39+L42</f>
        <v>4.675</v>
      </c>
      <c r="M44" s="38" t="n">
        <f aca="false">M39+M42</f>
        <v>4.675</v>
      </c>
    </row>
    <row r="45" customFormat="false" ht="15" hidden="false" customHeight="false" outlineLevel="0" collapsed="false">
      <c r="B45" s="7" t="s">
        <v>64</v>
      </c>
      <c r="C45" s="11" t="s">
        <v>65</v>
      </c>
      <c r="D45" s="38" t="n">
        <f aca="false">D43+D44</f>
        <v>0</v>
      </c>
      <c r="E45" s="38" t="n">
        <f aca="false">E43+E44</f>
        <v>3.025</v>
      </c>
      <c r="F45" s="38" t="n">
        <f aca="false">F43+F44</f>
        <v>6.985</v>
      </c>
      <c r="G45" s="38" t="n">
        <f aca="false">G43+G44</f>
        <v>8.47</v>
      </c>
      <c r="H45" s="38" t="n">
        <f aca="false">H43+H44</f>
        <v>9.24</v>
      </c>
      <c r="I45" s="38" t="n">
        <f aca="false">I43+I44</f>
        <v>9.35</v>
      </c>
      <c r="J45" s="38" t="n">
        <f aca="false">J43+J44</f>
        <v>9.35</v>
      </c>
      <c r="K45" s="38" t="n">
        <f aca="false">K43+K44</f>
        <v>9.35</v>
      </c>
      <c r="L45" s="38" t="n">
        <f aca="false">L43+L44</f>
        <v>9.35</v>
      </c>
      <c r="M45" s="38" t="n">
        <f aca="false">M43+M44</f>
        <v>9.35</v>
      </c>
    </row>
    <row r="46" customFormat="false" ht="15" hidden="false" customHeight="false" outlineLevel="0" collapsed="false">
      <c r="B46" s="22" t="s">
        <v>66</v>
      </c>
      <c r="C46" s="9" t="s">
        <v>67</v>
      </c>
      <c r="D46" s="28" t="n">
        <f aca="false">D25</f>
        <v>0</v>
      </c>
      <c r="E46" s="28" t="n">
        <f aca="false">E25</f>
        <v>155</v>
      </c>
      <c r="F46" s="28" t="n">
        <f aca="false">F25</f>
        <v>155</v>
      </c>
      <c r="G46" s="28" t="n">
        <f aca="false">G25</f>
        <v>153</v>
      </c>
      <c r="H46" s="28" t="n">
        <f aca="false">H25</f>
        <v>151</v>
      </c>
      <c r="I46" s="28" t="n">
        <f aca="false">I25</f>
        <v>149</v>
      </c>
      <c r="J46" s="28" t="n">
        <f aca="false">J25</f>
        <v>147</v>
      </c>
      <c r="K46" s="28" t="n">
        <f aca="false">K25</f>
        <v>145</v>
      </c>
      <c r="L46" s="28" t="n">
        <f aca="false">L25</f>
        <v>143</v>
      </c>
      <c r="M46" s="28" t="n">
        <f aca="false">M25</f>
        <v>141</v>
      </c>
    </row>
    <row r="47" customFormat="false" ht="15" hidden="false" customHeight="false" outlineLevel="0" collapsed="false">
      <c r="B47" s="22" t="s">
        <v>68</v>
      </c>
      <c r="C47" s="9" t="s">
        <v>69</v>
      </c>
      <c r="D47" s="21" t="n">
        <v>0</v>
      </c>
      <c r="E47" s="21" t="n">
        <v>0.16</v>
      </c>
      <c r="F47" s="21" t="n">
        <v>0.16</v>
      </c>
      <c r="G47" s="21" t="n">
        <v>0.16</v>
      </c>
      <c r="H47" s="21" t="n">
        <v>0.16</v>
      </c>
      <c r="I47" s="21" t="n">
        <v>0.16</v>
      </c>
      <c r="J47" s="21" t="n">
        <v>0.16</v>
      </c>
      <c r="K47" s="21" t="n">
        <v>0.16</v>
      </c>
      <c r="L47" s="21" t="n">
        <v>0.16</v>
      </c>
      <c r="M47" s="21" t="n">
        <v>0.16</v>
      </c>
    </row>
    <row r="48" customFormat="false" ht="15" hidden="false" customHeight="false" outlineLevel="0" collapsed="false">
      <c r="B48" s="22" t="s">
        <v>70</v>
      </c>
      <c r="C48" s="9" t="s">
        <v>71</v>
      </c>
      <c r="D48" s="21" t="n">
        <v>0</v>
      </c>
      <c r="E48" s="21" t="n">
        <v>0</v>
      </c>
      <c r="F48" s="21" t="n">
        <v>0.14</v>
      </c>
      <c r="G48" s="21" t="n">
        <v>0.14</v>
      </c>
      <c r="H48" s="21" t="n">
        <v>0.14</v>
      </c>
      <c r="I48" s="21" t="n">
        <v>0.14</v>
      </c>
      <c r="J48" s="21" t="n">
        <v>0.14</v>
      </c>
      <c r="K48" s="21" t="n">
        <v>0.14</v>
      </c>
      <c r="L48" s="21" t="n">
        <v>0.14</v>
      </c>
      <c r="M48" s="21" t="n">
        <v>0.14</v>
      </c>
    </row>
    <row r="49" customFormat="false" ht="15" hidden="false" customHeight="false" outlineLevel="0" collapsed="false">
      <c r="B49" s="22" t="s">
        <v>72</v>
      </c>
      <c r="C49" s="11" t="s">
        <v>73</v>
      </c>
      <c r="D49" s="39" t="n">
        <f aca="false">D46*(1-D47-D24)</f>
        <v>0</v>
      </c>
      <c r="E49" s="39" t="n">
        <f aca="false">E46*(1-E47-E24)</f>
        <v>130.2</v>
      </c>
      <c r="F49" s="39" t="n">
        <f aca="false">F46*(1-F47-F24)</f>
        <v>130.2</v>
      </c>
      <c r="G49" s="39" t="n">
        <f aca="false">G46*(1-G47-G24)</f>
        <v>128.52</v>
      </c>
      <c r="H49" s="39" t="n">
        <f aca="false">H46*(1-H47-H24)</f>
        <v>126.84</v>
      </c>
      <c r="I49" s="39" t="n">
        <f aca="false">I46*(1-I47-I24)</f>
        <v>125.16</v>
      </c>
      <c r="J49" s="39" t="n">
        <f aca="false">J46*(1-J47-J24)</f>
        <v>123.48</v>
      </c>
      <c r="K49" s="39" t="n">
        <f aca="false">K46*(1-K47-K24)</f>
        <v>121.8</v>
      </c>
      <c r="L49" s="39" t="n">
        <f aca="false">L46*(1-L47-L24)</f>
        <v>120.12</v>
      </c>
      <c r="M49" s="39" t="n">
        <f aca="false">M46*(1-M47-M24)</f>
        <v>118.44</v>
      </c>
    </row>
    <row r="50" customFormat="false" ht="15" hidden="false" customHeight="false" outlineLevel="0" collapsed="false">
      <c r="B50" s="22" t="s">
        <v>74</v>
      </c>
      <c r="C50" s="9" t="s">
        <v>75</v>
      </c>
      <c r="D50" s="39" t="n">
        <f aca="false">D46*(1-D48-D24)</f>
        <v>0</v>
      </c>
      <c r="E50" s="39" t="n">
        <f aca="false">E46*(1-E48-E24)</f>
        <v>155</v>
      </c>
      <c r="F50" s="39" t="n">
        <f aca="false">F46*(1-F48-F24)</f>
        <v>133.3</v>
      </c>
      <c r="G50" s="39" t="n">
        <f aca="false">G46*(1-G48-G24)</f>
        <v>131.58</v>
      </c>
      <c r="H50" s="39" t="n">
        <f aca="false">H46*(1-H48-H24)</f>
        <v>129.86</v>
      </c>
      <c r="I50" s="39" t="n">
        <f aca="false">I46*(1-I48-I24)</f>
        <v>128.14</v>
      </c>
      <c r="J50" s="39" t="n">
        <f aca="false">J46*(1-J48-J24)</f>
        <v>126.42</v>
      </c>
      <c r="K50" s="39" t="n">
        <f aca="false">K46*(1-K48-K24)</f>
        <v>124.7</v>
      </c>
      <c r="L50" s="39" t="n">
        <f aca="false">L46*(1-L48-L24)</f>
        <v>122.98</v>
      </c>
      <c r="M50" s="39" t="n">
        <f aca="false">M46*(1-M48-M24)</f>
        <v>121.26</v>
      </c>
    </row>
    <row r="51" customFormat="false" ht="15" hidden="false" customHeight="false" outlineLevel="0" collapsed="false">
      <c r="B51" s="22" t="s">
        <v>76</v>
      </c>
      <c r="C51" s="9" t="s">
        <v>77</v>
      </c>
      <c r="D51" s="20" t="n">
        <v>104</v>
      </c>
      <c r="E51" s="20" t="n">
        <v>62</v>
      </c>
      <c r="F51" s="20" t="n">
        <v>0</v>
      </c>
      <c r="G51" s="20" t="n">
        <v>0</v>
      </c>
      <c r="H51" s="20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 customFormat="false" ht="15" hidden="false" customHeight="false" outlineLevel="0" collapsed="false">
      <c r="B52" s="22" t="s">
        <v>78</v>
      </c>
      <c r="C52" s="9" t="s">
        <v>79</v>
      </c>
      <c r="D52" s="20" t="n">
        <v>0</v>
      </c>
      <c r="E52" s="20" t="n">
        <v>31</v>
      </c>
      <c r="F52" s="20" t="n">
        <v>21</v>
      </c>
      <c r="G52" s="20" t="n">
        <v>0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 customFormat="false" ht="15" hidden="false" customHeight="false" outlineLevel="0" collapsed="false">
      <c r="B53" s="7" t="s">
        <v>80</v>
      </c>
      <c r="D53" s="40" t="n">
        <f aca="false">D51+D52</f>
        <v>104</v>
      </c>
      <c r="E53" s="40" t="n">
        <f aca="false">E51+E52</f>
        <v>93</v>
      </c>
      <c r="F53" s="40" t="n">
        <f aca="false">F51+F52</f>
        <v>21</v>
      </c>
      <c r="G53" s="40" t="n">
        <f aca="false">G51+G52</f>
        <v>0</v>
      </c>
      <c r="H53" s="40" t="n">
        <f aca="false">H51+H52</f>
        <v>0</v>
      </c>
      <c r="I53" s="40" t="n">
        <f aca="false">I51+I52</f>
        <v>0</v>
      </c>
      <c r="J53" s="40" t="n">
        <f aca="false">J51+J52</f>
        <v>0</v>
      </c>
      <c r="K53" s="40" t="n">
        <f aca="false">K51+K52</f>
        <v>0</v>
      </c>
      <c r="L53" s="40" t="n">
        <f aca="false">L51+L52</f>
        <v>0</v>
      </c>
      <c r="M53" s="40" t="n">
        <f aca="false">M51+M52</f>
        <v>0</v>
      </c>
    </row>
    <row r="55" customFormat="false" ht="15" hidden="false" customHeight="false" outlineLevel="0" collapsed="false">
      <c r="B55" s="13" t="s">
        <v>81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customFormat="false" ht="15" hidden="false" customHeight="false" outlineLevel="0" collapsed="false">
      <c r="B56" s="15" t="s">
        <v>82</v>
      </c>
    </row>
    <row r="57" customFormat="false" ht="15" hidden="false" customHeight="false" outlineLevel="0" collapsed="false">
      <c r="B57" s="16" t="s">
        <v>48</v>
      </c>
      <c r="C57" s="17"/>
      <c r="D57" s="18" t="s">
        <v>13</v>
      </c>
      <c r="E57" s="18" t="s">
        <v>14</v>
      </c>
      <c r="F57" s="18" t="s">
        <v>15</v>
      </c>
      <c r="G57" s="18" t="s">
        <v>16</v>
      </c>
      <c r="H57" s="18" t="s">
        <v>17</v>
      </c>
      <c r="I57" s="18" t="s">
        <v>18</v>
      </c>
      <c r="J57" s="18" t="s">
        <v>19</v>
      </c>
      <c r="K57" s="18" t="s">
        <v>20</v>
      </c>
      <c r="L57" s="18" t="s">
        <v>21</v>
      </c>
      <c r="M57" s="18" t="s">
        <v>22</v>
      </c>
    </row>
    <row r="58" customFormat="false" ht="15" hidden="false" customHeight="false" outlineLevel="0" collapsed="false">
      <c r="B58" s="41" t="s">
        <v>83</v>
      </c>
    </row>
    <row r="59" customFormat="false" ht="15" hidden="false" customHeight="false" outlineLevel="0" collapsed="false">
      <c r="B59" s="19" t="s">
        <v>84</v>
      </c>
      <c r="C59" s="9" t="s">
        <v>85</v>
      </c>
      <c r="D59" s="36" t="n">
        <v>0</v>
      </c>
      <c r="E59" s="36" t="n">
        <v>0</v>
      </c>
      <c r="F59" s="42" t="n">
        <v>13.5</v>
      </c>
      <c r="G59" s="42" t="n">
        <v>13.5</v>
      </c>
      <c r="H59" s="42" t="n">
        <v>13.5</v>
      </c>
      <c r="I59" s="42" t="n">
        <v>13.5</v>
      </c>
      <c r="J59" s="42" t="n">
        <v>13.5</v>
      </c>
      <c r="K59" s="42" t="n">
        <v>13.5</v>
      </c>
      <c r="L59" s="42" t="n">
        <v>13.5</v>
      </c>
      <c r="M59" s="42" t="n">
        <v>13.5</v>
      </c>
    </row>
    <row r="60" customFormat="false" ht="15" hidden="false" customHeight="false" outlineLevel="0" collapsed="false">
      <c r="B60" s="19" t="s">
        <v>52</v>
      </c>
      <c r="D60" s="21" t="n">
        <v>0</v>
      </c>
      <c r="E60" s="21" t="n">
        <v>0</v>
      </c>
      <c r="F60" s="21" t="n">
        <v>0.18</v>
      </c>
      <c r="G60" s="21" t="n">
        <v>0.58</v>
      </c>
      <c r="H60" s="21" t="n">
        <v>0.75</v>
      </c>
      <c r="I60" s="21" t="n">
        <v>0.85</v>
      </c>
      <c r="J60" s="21" t="n">
        <v>0.85</v>
      </c>
      <c r="K60" s="21" t="n">
        <v>0.85</v>
      </c>
      <c r="L60" s="21" t="n">
        <v>0.85</v>
      </c>
      <c r="M60" s="21" t="n">
        <v>0.85</v>
      </c>
    </row>
    <row r="61" customFormat="false" ht="15" hidden="false" customHeight="false" outlineLevel="0" collapsed="false">
      <c r="B61" s="22" t="s">
        <v>53</v>
      </c>
      <c r="C61" s="9" t="s">
        <v>54</v>
      </c>
      <c r="D61" s="38" t="n">
        <f aca="false">D59*D60*$C$6</f>
        <v>0</v>
      </c>
      <c r="E61" s="38" t="n">
        <f aca="false">E59*E60*$C$6</f>
        <v>0</v>
      </c>
      <c r="F61" s="38" t="n">
        <f aca="false">F59*F60*$C$6</f>
        <v>2.43</v>
      </c>
      <c r="G61" s="38" t="n">
        <f aca="false">G59*G60*$C$6</f>
        <v>7.83</v>
      </c>
      <c r="H61" s="38" t="n">
        <f aca="false">H59*H60*$C$6</f>
        <v>10.125</v>
      </c>
      <c r="I61" s="38" t="n">
        <f aca="false">I59*I60*$C$6</f>
        <v>11.475</v>
      </c>
      <c r="J61" s="38" t="n">
        <f aca="false">J59*J60*$C$6</f>
        <v>11.475</v>
      </c>
      <c r="K61" s="38" t="n">
        <f aca="false">K59*K60*$C$6</f>
        <v>11.475</v>
      </c>
      <c r="L61" s="38" t="n">
        <f aca="false">L59*L60*$C$6</f>
        <v>11.475</v>
      </c>
      <c r="M61" s="38" t="n">
        <f aca="false">M59*M60*$C$6</f>
        <v>11.475</v>
      </c>
    </row>
    <row r="62" customFormat="false" ht="15" hidden="false" customHeight="false" outlineLevel="0" collapsed="false">
      <c r="B62" s="19" t="s">
        <v>86</v>
      </c>
      <c r="C62" s="9" t="s">
        <v>85</v>
      </c>
      <c r="D62" s="36" t="n">
        <v>0</v>
      </c>
      <c r="E62" s="36" t="n">
        <v>0</v>
      </c>
      <c r="F62" s="42" t="n">
        <v>13.5</v>
      </c>
      <c r="G62" s="42" t="n">
        <v>13.5</v>
      </c>
      <c r="H62" s="42" t="n">
        <v>13.5</v>
      </c>
      <c r="I62" s="42" t="n">
        <v>13.5</v>
      </c>
      <c r="J62" s="42" t="n">
        <v>13.5</v>
      </c>
      <c r="K62" s="42" t="n">
        <v>13.5</v>
      </c>
      <c r="L62" s="42" t="n">
        <v>13.5</v>
      </c>
      <c r="M62" s="42" t="n">
        <v>13.5</v>
      </c>
    </row>
    <row r="63" customFormat="false" ht="15" hidden="false" customHeight="false" outlineLevel="0" collapsed="false">
      <c r="B63" s="19" t="s">
        <v>52</v>
      </c>
      <c r="D63" s="21" t="n">
        <v>0</v>
      </c>
      <c r="E63" s="21" t="n">
        <v>0</v>
      </c>
      <c r="F63" s="21" t="n">
        <v>0.18</v>
      </c>
      <c r="G63" s="21" t="n">
        <v>0.58</v>
      </c>
      <c r="H63" s="21" t="n">
        <v>0.75</v>
      </c>
      <c r="I63" s="21" t="n">
        <v>0.85</v>
      </c>
      <c r="J63" s="21" t="n">
        <v>0.85</v>
      </c>
      <c r="K63" s="21" t="n">
        <v>0.85</v>
      </c>
      <c r="L63" s="21" t="n">
        <v>0.85</v>
      </c>
      <c r="M63" s="21" t="n">
        <v>0.85</v>
      </c>
    </row>
    <row r="64" customFormat="false" ht="15" hidden="false" customHeight="false" outlineLevel="0" collapsed="false">
      <c r="B64" s="22" t="s">
        <v>53</v>
      </c>
      <c r="C64" s="9" t="s">
        <v>54</v>
      </c>
      <c r="D64" s="38" t="n">
        <f aca="false">D62*D63*$C$6</f>
        <v>0</v>
      </c>
      <c r="E64" s="38" t="n">
        <f aca="false">E62*E63*$C$6</f>
        <v>0</v>
      </c>
      <c r="F64" s="38" t="n">
        <f aca="false">F62*F63*$C$6</f>
        <v>2.43</v>
      </c>
      <c r="G64" s="38" t="n">
        <f aca="false">G62*G63*$C$6</f>
        <v>7.83</v>
      </c>
      <c r="H64" s="38" t="n">
        <f aca="false">H62*H63*$C$6</f>
        <v>10.125</v>
      </c>
      <c r="I64" s="38" t="n">
        <f aca="false">I62*I63*$C$6</f>
        <v>11.475</v>
      </c>
      <c r="J64" s="38" t="n">
        <f aca="false">J62*J63*$C$6</f>
        <v>11.475</v>
      </c>
      <c r="K64" s="38" t="n">
        <f aca="false">K62*K63*$C$6</f>
        <v>11.475</v>
      </c>
      <c r="L64" s="38" t="n">
        <f aca="false">L62*L63*$C$6</f>
        <v>11.475</v>
      </c>
      <c r="M64" s="38" t="n">
        <f aca="false">M62*M63*$C$6</f>
        <v>11.475</v>
      </c>
    </row>
    <row r="65" customFormat="false" ht="15" hidden="false" customHeight="false" outlineLevel="0" collapsed="false">
      <c r="B65" s="41" t="s">
        <v>87</v>
      </c>
    </row>
    <row r="66" customFormat="false" ht="15" hidden="false" customHeight="false" outlineLevel="0" collapsed="false">
      <c r="B66" s="19" t="s">
        <v>88</v>
      </c>
      <c r="C66" s="9" t="s">
        <v>58</v>
      </c>
      <c r="D66" s="36" t="n">
        <v>0</v>
      </c>
      <c r="E66" s="36" t="n">
        <v>0</v>
      </c>
      <c r="F66" s="42" t="n">
        <v>2.7</v>
      </c>
      <c r="G66" s="42" t="n">
        <v>2.7</v>
      </c>
      <c r="H66" s="42" t="n">
        <v>2.7</v>
      </c>
      <c r="I66" s="42" t="n">
        <v>2.7</v>
      </c>
      <c r="J66" s="42" t="n">
        <v>2.7</v>
      </c>
      <c r="K66" s="42" t="n">
        <v>2.7</v>
      </c>
      <c r="L66" s="42" t="n">
        <v>2.7</v>
      </c>
      <c r="M66" s="42" t="n">
        <v>2.7</v>
      </c>
    </row>
    <row r="67" customFormat="false" ht="15" hidden="false" customHeight="false" outlineLevel="0" collapsed="false">
      <c r="B67" s="19" t="s">
        <v>52</v>
      </c>
      <c r="D67" s="21" t="n">
        <v>0</v>
      </c>
      <c r="E67" s="21" t="n">
        <v>0</v>
      </c>
      <c r="F67" s="21" t="n">
        <v>0.18</v>
      </c>
      <c r="G67" s="21" t="n">
        <v>0.58</v>
      </c>
      <c r="H67" s="21" t="n">
        <v>0.75</v>
      </c>
      <c r="I67" s="21" t="n">
        <v>0.85</v>
      </c>
      <c r="J67" s="21" t="n">
        <v>0.85</v>
      </c>
      <c r="K67" s="21" t="n">
        <v>0.85</v>
      </c>
      <c r="L67" s="21" t="n">
        <v>0.85</v>
      </c>
      <c r="M67" s="21" t="n">
        <v>0.85</v>
      </c>
    </row>
    <row r="68" customFormat="false" ht="15" hidden="false" customHeight="false" outlineLevel="0" collapsed="false">
      <c r="B68" s="22" t="s">
        <v>53</v>
      </c>
      <c r="C68" s="9" t="s">
        <v>54</v>
      </c>
      <c r="D68" s="38" t="n">
        <f aca="false">D66*D67*$C$6</f>
        <v>0</v>
      </c>
      <c r="E68" s="38" t="n">
        <f aca="false">E66*E67*$C$6</f>
        <v>0</v>
      </c>
      <c r="F68" s="38" t="n">
        <f aca="false">F66*F67*$C$6</f>
        <v>0.486</v>
      </c>
      <c r="G68" s="38" t="n">
        <f aca="false">G66*G67*$C$6</f>
        <v>1.566</v>
      </c>
      <c r="H68" s="38" t="n">
        <f aca="false">H66*H67*$C$6</f>
        <v>2.025</v>
      </c>
      <c r="I68" s="38" t="n">
        <f aca="false">I66*I67*$C$6</f>
        <v>2.295</v>
      </c>
      <c r="J68" s="38" t="n">
        <f aca="false">J66*J67*$C$6</f>
        <v>2.295</v>
      </c>
      <c r="K68" s="38" t="n">
        <f aca="false">K66*K67*$C$6</f>
        <v>2.295</v>
      </c>
      <c r="L68" s="38" t="n">
        <f aca="false">L66*L67*$C$6</f>
        <v>2.295</v>
      </c>
      <c r="M68" s="38" t="n">
        <f aca="false">M66*M67*$C$6</f>
        <v>2.295</v>
      </c>
    </row>
    <row r="69" customFormat="false" ht="15" hidden="false" customHeight="false" outlineLevel="0" collapsed="false">
      <c r="B69" s="7" t="s">
        <v>89</v>
      </c>
      <c r="C69" s="9" t="s">
        <v>90</v>
      </c>
      <c r="D69" s="38" t="n">
        <f aca="false">D61+D64</f>
        <v>0</v>
      </c>
      <c r="E69" s="38" t="n">
        <f aca="false">E61+E64</f>
        <v>0</v>
      </c>
      <c r="F69" s="38" t="n">
        <f aca="false">F61+F64</f>
        <v>4.86</v>
      </c>
      <c r="G69" s="38" t="n">
        <f aca="false">G61+G64</f>
        <v>15.66</v>
      </c>
      <c r="H69" s="38" t="n">
        <f aca="false">H61+H64</f>
        <v>20.25</v>
      </c>
      <c r="I69" s="38" t="n">
        <f aca="false">I61+I64</f>
        <v>22.95</v>
      </c>
      <c r="J69" s="38" t="n">
        <f aca="false">J61+J64</f>
        <v>22.95</v>
      </c>
      <c r="K69" s="38" t="n">
        <f aca="false">K61+K64</f>
        <v>22.95</v>
      </c>
      <c r="L69" s="38" t="n">
        <f aca="false">L61+L64</f>
        <v>22.95</v>
      </c>
      <c r="M69" s="38" t="n">
        <f aca="false">M61+M64</f>
        <v>22.95</v>
      </c>
    </row>
    <row r="70" customFormat="false" ht="15" hidden="false" customHeight="false" outlineLevel="0" collapsed="false">
      <c r="B70" s="7" t="s">
        <v>91</v>
      </c>
      <c r="C70" s="9" t="s">
        <v>92</v>
      </c>
      <c r="D70" s="38" t="n">
        <f aca="false">D68</f>
        <v>0</v>
      </c>
      <c r="E70" s="38" t="n">
        <f aca="false">E68</f>
        <v>0</v>
      </c>
      <c r="F70" s="38" t="n">
        <f aca="false">F68</f>
        <v>0.486</v>
      </c>
      <c r="G70" s="38" t="n">
        <f aca="false">G68</f>
        <v>1.566</v>
      </c>
      <c r="H70" s="38" t="n">
        <f aca="false">H68</f>
        <v>2.025</v>
      </c>
      <c r="I70" s="38" t="n">
        <f aca="false">I68</f>
        <v>2.295</v>
      </c>
      <c r="J70" s="38" t="n">
        <f aca="false">J68</f>
        <v>2.295</v>
      </c>
      <c r="K70" s="38" t="n">
        <f aca="false">K68</f>
        <v>2.295</v>
      </c>
      <c r="L70" s="38" t="n">
        <f aca="false">L68</f>
        <v>2.295</v>
      </c>
      <c r="M70" s="38" t="n">
        <f aca="false">M68</f>
        <v>2.295</v>
      </c>
    </row>
    <row r="71" customFormat="false" ht="15" hidden="false" customHeight="false" outlineLevel="0" collapsed="false">
      <c r="B71" s="19" t="s">
        <v>93</v>
      </c>
      <c r="C71" s="9" t="s">
        <v>94</v>
      </c>
      <c r="D71" s="21" t="n">
        <v>0</v>
      </c>
      <c r="E71" s="21" t="n">
        <v>0</v>
      </c>
      <c r="F71" s="21" t="n">
        <v>0.04</v>
      </c>
      <c r="G71" s="21" t="n">
        <v>0.04</v>
      </c>
      <c r="H71" s="21" t="n">
        <v>0.04</v>
      </c>
      <c r="I71" s="21" t="n">
        <v>0.04</v>
      </c>
      <c r="J71" s="21" t="n">
        <v>0.04</v>
      </c>
      <c r="K71" s="21" t="n">
        <v>0.04</v>
      </c>
      <c r="L71" s="21" t="n">
        <v>0.04</v>
      </c>
      <c r="M71" s="21" t="n">
        <v>0.04</v>
      </c>
    </row>
    <row r="72" customFormat="false" ht="15" hidden="false" customHeight="false" outlineLevel="0" collapsed="false">
      <c r="B72" s="22" t="s">
        <v>95</v>
      </c>
      <c r="C72" s="9" t="s">
        <v>96</v>
      </c>
      <c r="D72" s="43" t="n">
        <f aca="false">D25*(1-D71)</f>
        <v>0</v>
      </c>
      <c r="E72" s="43" t="n">
        <f aca="false">E25*(1-E71)</f>
        <v>155</v>
      </c>
      <c r="F72" s="43" t="n">
        <f aca="false">F25*(1-F71)</f>
        <v>148.8</v>
      </c>
      <c r="G72" s="43" t="n">
        <f aca="false">G25*(1-G71)</f>
        <v>146.88</v>
      </c>
      <c r="H72" s="43" t="n">
        <f aca="false">H25*(1-H71)</f>
        <v>144.96</v>
      </c>
      <c r="I72" s="43" t="n">
        <f aca="false">I25*(1-I71)</f>
        <v>143.04</v>
      </c>
      <c r="J72" s="43" t="n">
        <f aca="false">J25*(1-J71)</f>
        <v>141.12</v>
      </c>
      <c r="K72" s="43" t="n">
        <f aca="false">K25*(1-K71)</f>
        <v>139.2</v>
      </c>
      <c r="L72" s="43" t="n">
        <f aca="false">L25*(1-L71)</f>
        <v>137.28</v>
      </c>
      <c r="M72" s="43" t="n">
        <f aca="false">M25*(1-M71)</f>
        <v>135.36</v>
      </c>
    </row>
    <row r="73" customFormat="false" ht="15" hidden="false" customHeight="false" outlineLevel="0" collapsed="false">
      <c r="B73" s="19" t="s">
        <v>97</v>
      </c>
      <c r="D73" s="21" t="n">
        <v>0</v>
      </c>
      <c r="E73" s="21" t="n">
        <v>0</v>
      </c>
      <c r="F73" s="21" t="n">
        <v>0.15</v>
      </c>
      <c r="G73" s="21" t="n">
        <v>0.15</v>
      </c>
      <c r="H73" s="21" t="n">
        <v>0.15</v>
      </c>
      <c r="I73" s="21" t="n">
        <v>0.15</v>
      </c>
      <c r="J73" s="21" t="n">
        <v>0.15</v>
      </c>
      <c r="K73" s="21" t="n">
        <v>0.15</v>
      </c>
      <c r="L73" s="21" t="n">
        <v>0.15</v>
      </c>
      <c r="M73" s="21" t="n">
        <v>0.15</v>
      </c>
    </row>
    <row r="74" customFormat="false" ht="15" hidden="false" customHeight="false" outlineLevel="0" collapsed="false">
      <c r="B74" s="22" t="s">
        <v>98</v>
      </c>
      <c r="C74" s="11" t="s">
        <v>99</v>
      </c>
      <c r="D74" s="39" t="n">
        <f aca="false">D72*(1-D73-D24)</f>
        <v>0</v>
      </c>
      <c r="E74" s="39" t="n">
        <f aca="false">E72*(1-E73-E24)</f>
        <v>155</v>
      </c>
      <c r="F74" s="39" t="n">
        <f aca="false">F72*(1-F73-F24)</f>
        <v>126.48</v>
      </c>
      <c r="G74" s="39" t="n">
        <f aca="false">G72*(1-G73-G24)</f>
        <v>124.848</v>
      </c>
      <c r="H74" s="39" t="n">
        <f aca="false">H72*(1-H73-H24)</f>
        <v>123.216</v>
      </c>
      <c r="I74" s="39" t="n">
        <f aca="false">I72*(1-I73-I24)</f>
        <v>121.584</v>
      </c>
      <c r="J74" s="39" t="n">
        <f aca="false">J72*(1-J73-J24)</f>
        <v>119.952</v>
      </c>
      <c r="K74" s="39" t="n">
        <f aca="false">K72*(1-K73-K24)</f>
        <v>118.32</v>
      </c>
      <c r="L74" s="39" t="n">
        <f aca="false">L72*(1-L73-L24)</f>
        <v>116.688</v>
      </c>
      <c r="M74" s="39" t="n">
        <f aca="false">M72*(1-M73-M24)</f>
        <v>115.056</v>
      </c>
    </row>
    <row r="75" customFormat="false" ht="15" hidden="false" customHeight="false" outlineLevel="0" collapsed="false">
      <c r="B75" s="22" t="s">
        <v>66</v>
      </c>
      <c r="C75" s="9" t="s">
        <v>100</v>
      </c>
      <c r="D75" s="28" t="n">
        <f aca="false">D25</f>
        <v>0</v>
      </c>
      <c r="E75" s="28" t="n">
        <f aca="false">E25</f>
        <v>155</v>
      </c>
      <c r="F75" s="28" t="n">
        <f aca="false">F25</f>
        <v>155</v>
      </c>
      <c r="G75" s="28" t="n">
        <f aca="false">G25</f>
        <v>153</v>
      </c>
      <c r="H75" s="28" t="n">
        <f aca="false">H25</f>
        <v>151</v>
      </c>
      <c r="I75" s="28" t="n">
        <f aca="false">I25</f>
        <v>149</v>
      </c>
      <c r="J75" s="28" t="n">
        <f aca="false">J25</f>
        <v>147</v>
      </c>
      <c r="K75" s="28" t="n">
        <f aca="false">K25</f>
        <v>145</v>
      </c>
      <c r="L75" s="28" t="n">
        <f aca="false">L25</f>
        <v>143</v>
      </c>
      <c r="M75" s="28" t="n">
        <f aca="false">M25</f>
        <v>141</v>
      </c>
    </row>
    <row r="76" customFormat="false" ht="15" hidden="false" customHeight="false" outlineLevel="0" collapsed="false">
      <c r="B76" s="19" t="s">
        <v>101</v>
      </c>
      <c r="D76" s="21" t="n">
        <v>0</v>
      </c>
      <c r="E76" s="21" t="n">
        <v>0</v>
      </c>
      <c r="F76" s="21" t="n">
        <v>0.15</v>
      </c>
      <c r="G76" s="21" t="n">
        <v>0.15</v>
      </c>
      <c r="H76" s="21" t="n">
        <v>0.15</v>
      </c>
      <c r="I76" s="21" t="n">
        <v>0.15</v>
      </c>
      <c r="J76" s="21" t="n">
        <v>0.15</v>
      </c>
      <c r="K76" s="21" t="n">
        <v>0.15</v>
      </c>
      <c r="L76" s="21" t="n">
        <v>0.15</v>
      </c>
      <c r="M76" s="21" t="n">
        <v>0.15</v>
      </c>
    </row>
    <row r="77" customFormat="false" ht="15" hidden="false" customHeight="false" outlineLevel="0" collapsed="false">
      <c r="B77" s="22" t="s">
        <v>102</v>
      </c>
      <c r="C77" s="11" t="s">
        <v>99</v>
      </c>
      <c r="D77" s="39" t="n">
        <f aca="false">D75*(1-D76-D24)</f>
        <v>0</v>
      </c>
      <c r="E77" s="39" t="n">
        <f aca="false">E75*(1-E76-E24)</f>
        <v>155</v>
      </c>
      <c r="F77" s="39" t="n">
        <f aca="false">F75*(1-F76-F24)</f>
        <v>131.75</v>
      </c>
      <c r="G77" s="39" t="n">
        <f aca="false">G75*(1-G76-G24)</f>
        <v>130.05</v>
      </c>
      <c r="H77" s="39" t="n">
        <f aca="false">H75*(1-H76-H24)</f>
        <v>128.35</v>
      </c>
      <c r="I77" s="39" t="n">
        <f aca="false">I75*(1-I76-I24)</f>
        <v>126.65</v>
      </c>
      <c r="J77" s="39" t="n">
        <f aca="false">J75*(1-J76-J24)</f>
        <v>124.95</v>
      </c>
      <c r="K77" s="39" t="n">
        <f aca="false">K75*(1-K76-K24)</f>
        <v>123.25</v>
      </c>
      <c r="L77" s="39" t="n">
        <f aca="false">L75*(1-L76-L24)</f>
        <v>121.55</v>
      </c>
      <c r="M77" s="39" t="n">
        <f aca="false">M75*(1-M76-M24)</f>
        <v>119.85</v>
      </c>
    </row>
    <row r="78" customFormat="false" ht="15" hidden="false" customHeight="false" outlineLevel="0" collapsed="false">
      <c r="B78" s="22" t="s">
        <v>103</v>
      </c>
      <c r="C78" s="9" t="s">
        <v>104</v>
      </c>
      <c r="D78" s="20" t="n">
        <v>200</v>
      </c>
      <c r="E78" s="20" t="n">
        <v>500</v>
      </c>
      <c r="F78" s="20" t="n">
        <v>300</v>
      </c>
      <c r="G78" s="20" t="n">
        <v>0</v>
      </c>
      <c r="H78" s="20" t="n">
        <v>0</v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</row>
    <row r="80" customFormat="false" ht="15" hidden="false" customHeight="false" outlineLevel="0" collapsed="false">
      <c r="B80" s="44" t="s">
        <v>105</v>
      </c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</row>
    <row r="81" customFormat="false" ht="15" hidden="false" customHeight="false" outlineLevel="0" collapsed="false">
      <c r="B81" s="22" t="s">
        <v>106</v>
      </c>
      <c r="C81" s="21" t="n">
        <v>0.06</v>
      </c>
    </row>
    <row r="82" customFormat="false" ht="15" hidden="false" customHeight="false" outlineLevel="0" collapsed="false">
      <c r="B82" s="22" t="s">
        <v>107</v>
      </c>
      <c r="C82" s="21" t="n">
        <v>0.0667</v>
      </c>
      <c r="D82" s="11" t="s">
        <v>108</v>
      </c>
    </row>
    <row r="83" customFormat="false" ht="15" hidden="false" customHeight="false" outlineLevel="0" collapsed="false">
      <c r="B83" s="22" t="s">
        <v>109</v>
      </c>
      <c r="C83" s="21" t="n">
        <v>0.03</v>
      </c>
    </row>
    <row r="84" customFormat="false" ht="15" hidden="false" customHeight="false" outlineLevel="0" collapsed="false">
      <c r="B84" s="22" t="s">
        <v>110</v>
      </c>
      <c r="C84" s="21" t="n">
        <v>0.1</v>
      </c>
      <c r="D84" s="9" t="s">
        <v>111</v>
      </c>
    </row>
    <row r="85" customFormat="false" ht="15" hidden="false" customHeight="false" outlineLevel="0" collapsed="false">
      <c r="B85" s="22" t="s">
        <v>112</v>
      </c>
      <c r="C85" s="20" t="n">
        <v>200</v>
      </c>
      <c r="D85" s="9" t="s">
        <v>113</v>
      </c>
    </row>
    <row r="86" customFormat="false" ht="15" hidden="false" customHeight="false" outlineLevel="0" collapsed="false">
      <c r="B86" s="22" t="s">
        <v>114</v>
      </c>
      <c r="C86" s="21" t="n">
        <v>0.15</v>
      </c>
    </row>
    <row r="87" customFormat="false" ht="15" hidden="false" customHeight="false" outlineLevel="0" collapsed="false">
      <c r="B87" s="22" t="s">
        <v>115</v>
      </c>
      <c r="C87" s="21" t="n">
        <v>0.23</v>
      </c>
      <c r="D87" s="11" t="s">
        <v>116</v>
      </c>
    </row>
    <row r="88" customFormat="false" ht="15" hidden="false" customHeight="false" outlineLevel="0" collapsed="false">
      <c r="B88" s="22" t="s">
        <v>117</v>
      </c>
      <c r="C88" s="20" t="n">
        <v>4000</v>
      </c>
      <c r="D88" s="11" t="s">
        <v>118</v>
      </c>
    </row>
    <row r="89" customFormat="false" ht="15" hidden="false" customHeight="false" outlineLevel="0" collapsed="false">
      <c r="B89" s="22" t="s">
        <v>119</v>
      </c>
      <c r="C89" s="20" t="n">
        <v>0</v>
      </c>
      <c r="D89" s="9" t="s">
        <v>120</v>
      </c>
    </row>
    <row r="90" customFormat="false" ht="15" hidden="false" customHeight="false" outlineLevel="0" collapsed="false">
      <c r="B90" s="22" t="s">
        <v>121</v>
      </c>
      <c r="C90" s="21" t="n">
        <v>0.8</v>
      </c>
      <c r="D90" s="11" t="s">
        <v>122</v>
      </c>
    </row>
    <row r="91" customFormat="false" ht="15" hidden="false" customHeight="false" outlineLevel="0" collapsed="false">
      <c r="B91" s="22" t="s">
        <v>123</v>
      </c>
      <c r="C91" s="21" t="n">
        <v>0.105</v>
      </c>
    </row>
    <row r="92" customFormat="false" ht="15" hidden="false" customHeight="false" outlineLevel="0" collapsed="false">
      <c r="B92" s="22" t="s">
        <v>124</v>
      </c>
      <c r="C92" s="21" t="n">
        <v>0.13</v>
      </c>
      <c r="D92" s="9" t="s">
        <v>125</v>
      </c>
    </row>
    <row r="93" customFormat="false" ht="15" hidden="false" customHeight="false" outlineLevel="0" collapsed="false">
      <c r="B93" s="22" t="s">
        <v>126</v>
      </c>
      <c r="C93" s="21" t="n">
        <v>0.02</v>
      </c>
    </row>
    <row r="94" customFormat="false" ht="15" hidden="false" customHeight="false" outlineLevel="0" collapsed="false">
      <c r="B94" s="22" t="s">
        <v>127</v>
      </c>
      <c r="C94" s="20" t="n">
        <v>6400</v>
      </c>
      <c r="D94" s="11" t="s">
        <v>128</v>
      </c>
    </row>
    <row r="95" customFormat="false" ht="15" hidden="false" customHeight="false" outlineLevel="0" collapsed="false">
      <c r="B95" s="22" t="s">
        <v>129</v>
      </c>
      <c r="C95" s="46" t="n">
        <v>0.5</v>
      </c>
    </row>
    <row r="97" customFormat="false" ht="15" hidden="false" customHeight="false" outlineLevel="0" collapsed="false">
      <c r="B97" s="47" t="s">
        <v>130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customFormat="false" ht="15" hidden="false" customHeight="false" outlineLevel="0" collapsed="false">
      <c r="B98" s="15" t="s">
        <v>131</v>
      </c>
    </row>
    <row r="99" customFormat="false" ht="15" hidden="false" customHeight="false" outlineLevel="0" collapsed="false">
      <c r="B99" s="48" t="s">
        <v>132</v>
      </c>
    </row>
    <row r="100" customFormat="false" ht="15" hidden="false" customHeight="false" outlineLevel="0" collapsed="false">
      <c r="B100" s="22" t="s">
        <v>133</v>
      </c>
      <c r="C100" s="20" t="n">
        <v>0</v>
      </c>
      <c r="D100" s="9" t="s">
        <v>134</v>
      </c>
    </row>
    <row r="101" customFormat="false" ht="15" hidden="false" customHeight="false" outlineLevel="0" collapsed="false">
      <c r="B101" s="22" t="s">
        <v>135</v>
      </c>
      <c r="C101" s="21" t="n">
        <v>0.09</v>
      </c>
      <c r="D101" s="9" t="s">
        <v>136</v>
      </c>
    </row>
    <row r="102" customFormat="false" ht="15" hidden="false" customHeight="false" outlineLevel="0" collapsed="false">
      <c r="B102" s="49" t="s">
        <v>137</v>
      </c>
    </row>
    <row r="103" customFormat="false" ht="15" hidden="false" customHeight="false" outlineLevel="0" collapsed="false">
      <c r="B103" s="19" t="s">
        <v>138</v>
      </c>
      <c r="C103" s="20" t="n">
        <v>731</v>
      </c>
      <c r="D103" s="9" t="s">
        <v>139</v>
      </c>
    </row>
    <row r="104" customFormat="false" ht="15" hidden="false" customHeight="false" outlineLevel="0" collapsed="false">
      <c r="B104" s="19" t="s">
        <v>140</v>
      </c>
      <c r="C104" s="21" t="n">
        <v>0.065</v>
      </c>
      <c r="D104" s="9" t="s">
        <v>141</v>
      </c>
    </row>
    <row r="105" customFormat="false" ht="15" hidden="false" customHeight="false" outlineLevel="0" collapsed="false">
      <c r="B105" s="22" t="s">
        <v>142</v>
      </c>
      <c r="C105" s="20" t="n">
        <v>0</v>
      </c>
      <c r="D105" s="9" t="s">
        <v>143</v>
      </c>
    </row>
    <row r="106" customFormat="false" ht="15" hidden="false" customHeight="false" outlineLevel="0" collapsed="false">
      <c r="B106" s="48" t="s">
        <v>144</v>
      </c>
    </row>
    <row r="107" customFormat="false" ht="15" hidden="false" customHeight="false" outlineLevel="0" collapsed="false">
      <c r="B107" s="22" t="s">
        <v>145</v>
      </c>
      <c r="C107" s="20" t="n">
        <v>4000</v>
      </c>
      <c r="D107" s="9" t="s">
        <v>146</v>
      </c>
    </row>
    <row r="108" customFormat="false" ht="15" hidden="false" customHeight="false" outlineLevel="0" collapsed="false">
      <c r="B108" s="22" t="s">
        <v>147</v>
      </c>
      <c r="C108" s="21" t="n">
        <v>0.05</v>
      </c>
      <c r="D108" s="9" t="s">
        <v>148</v>
      </c>
    </row>
    <row r="109" customFormat="false" ht="15" hidden="false" customHeight="false" outlineLevel="0" collapsed="false">
      <c r="B109" s="22" t="s">
        <v>149</v>
      </c>
      <c r="C109" s="20" t="n">
        <v>0</v>
      </c>
      <c r="D109" s="9" t="s">
        <v>150</v>
      </c>
    </row>
    <row r="110" customFormat="false" ht="15" hidden="false" customHeight="false" outlineLevel="0" collapsed="false">
      <c r="B110" s="22" t="s">
        <v>151</v>
      </c>
      <c r="C110" s="21" t="n">
        <v>0.07</v>
      </c>
      <c r="D110" s="9" t="s">
        <v>152</v>
      </c>
    </row>
    <row r="111" customFormat="false" ht="15" hidden="false" customHeight="false" outlineLevel="0" collapsed="false">
      <c r="B111" s="22" t="s">
        <v>153</v>
      </c>
      <c r="C111" s="50" t="n">
        <v>2029</v>
      </c>
      <c r="D111" s="11" t="s">
        <v>154</v>
      </c>
    </row>
    <row r="112" customFormat="false" ht="15" hidden="false" customHeight="false" outlineLevel="0" collapsed="false">
      <c r="B112" s="22" t="s">
        <v>155</v>
      </c>
      <c r="C112" s="50" t="n">
        <v>2032</v>
      </c>
      <c r="D112" s="11" t="s">
        <v>156</v>
      </c>
    </row>
    <row r="113" customFormat="false" ht="15" hidden="false" customHeight="false" outlineLevel="0" collapsed="false">
      <c r="B113" s="22" t="s">
        <v>157</v>
      </c>
      <c r="C113" s="21" t="n">
        <v>0.05</v>
      </c>
      <c r="D113" s="11" t="s">
        <v>158</v>
      </c>
    </row>
    <row r="114" customFormat="false" ht="15" hidden="false" customHeight="false" outlineLevel="0" collapsed="false">
      <c r="B114" s="22" t="s">
        <v>159</v>
      </c>
      <c r="C114" s="20" t="n">
        <v>0</v>
      </c>
      <c r="D114" s="9" t="s">
        <v>160</v>
      </c>
    </row>
    <row r="116" customFormat="false" ht="15" hidden="false" customHeight="false" outlineLevel="0" collapsed="false">
      <c r="B116" s="11" t="s">
        <v>161</v>
      </c>
    </row>
    <row r="117" customFormat="false" ht="15" hidden="false" customHeight="false" outlineLevel="0" collapsed="false">
      <c r="B117" s="11" t="s">
        <v>162</v>
      </c>
    </row>
    <row r="119" customFormat="false" ht="15" hidden="false" customHeight="false" outlineLevel="0" collapsed="false">
      <c r="B119" s="22" t="s">
        <v>163</v>
      </c>
      <c r="C119" s="51" t="n">
        <v>2000</v>
      </c>
      <c r="D119" s="9" t="s">
        <v>164</v>
      </c>
    </row>
    <row r="120" customFormat="false" ht="15" hidden="false" customHeight="false" outlineLevel="0" collapsed="false">
      <c r="B120" s="22" t="s">
        <v>165</v>
      </c>
      <c r="C120" s="20" t="n">
        <v>3000</v>
      </c>
      <c r="D120" s="9" t="s">
        <v>166</v>
      </c>
    </row>
    <row r="122" customFormat="false" ht="15" hidden="false" customHeight="false" outlineLevel="0" collapsed="false">
      <c r="B122" s="11" t="s">
        <v>167</v>
      </c>
    </row>
    <row r="123" customFormat="false" ht="15" hidden="false" customHeight="false" outlineLevel="0" collapsed="false">
      <c r="B123" s="5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169</v>
      </c>
    </row>
    <row r="2" customFormat="false" ht="15" hidden="false" customHeight="false" outlineLevel="0" collapsed="false">
      <c r="B2" s="54" t="s">
        <v>170</v>
      </c>
    </row>
    <row r="4" customFormat="false" ht="15" hidden="false" customHeight="false" outlineLevel="0" collapsed="false">
      <c r="B4" s="33" t="s">
        <v>171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22" t="s">
        <v>173</v>
      </c>
      <c r="D6" s="55" t="n">
        <f aca="false">Assumptions!D45</f>
        <v>0</v>
      </c>
      <c r="E6" s="55" t="n">
        <f aca="false">Assumptions!E45</f>
        <v>3.025</v>
      </c>
      <c r="F6" s="55" t="n">
        <f aca="false">Assumptions!F45</f>
        <v>6.985</v>
      </c>
      <c r="G6" s="55" t="n">
        <f aca="false">Assumptions!G45</f>
        <v>8.47</v>
      </c>
      <c r="H6" s="55" t="n">
        <f aca="false">Assumptions!H45</f>
        <v>9.24</v>
      </c>
      <c r="I6" s="55" t="n">
        <f aca="false">Assumptions!I45</f>
        <v>9.35</v>
      </c>
      <c r="J6" s="55" t="n">
        <f aca="false">Assumptions!J45</f>
        <v>9.35</v>
      </c>
      <c r="K6" s="55" t="n">
        <f aca="false">Assumptions!K45</f>
        <v>9.35</v>
      </c>
      <c r="L6" s="55" t="n">
        <f aca="false">Assumptions!L45</f>
        <v>9.35</v>
      </c>
      <c r="M6" s="55" t="n">
        <f aca="false">Assumptions!M45</f>
        <v>9.35</v>
      </c>
    </row>
    <row r="7" customFormat="false" ht="15" hidden="false" customHeight="false" outlineLevel="0" collapsed="false">
      <c r="B7" s="22" t="s">
        <v>174</v>
      </c>
      <c r="D7" s="39" t="n">
        <f aca="false">Assumptions!D46</f>
        <v>0</v>
      </c>
      <c r="E7" s="39" t="n">
        <f aca="false">Assumptions!E46</f>
        <v>155</v>
      </c>
      <c r="F7" s="39" t="n">
        <f aca="false">Assumptions!F46</f>
        <v>155</v>
      </c>
      <c r="G7" s="39" t="n">
        <f aca="false">Assumptions!G46</f>
        <v>153</v>
      </c>
      <c r="H7" s="39" t="n">
        <f aca="false">Assumptions!H46</f>
        <v>151</v>
      </c>
      <c r="I7" s="39" t="n">
        <f aca="false">Assumptions!I46</f>
        <v>149</v>
      </c>
      <c r="J7" s="39" t="n">
        <f aca="false">Assumptions!J46</f>
        <v>147</v>
      </c>
      <c r="K7" s="39" t="n">
        <f aca="false">Assumptions!K46</f>
        <v>145</v>
      </c>
      <c r="L7" s="39" t="n">
        <f aca="false">Assumptions!L46</f>
        <v>143</v>
      </c>
      <c r="M7" s="39" t="n">
        <f aca="false">Assumptions!M46</f>
        <v>141</v>
      </c>
    </row>
    <row r="8" customFormat="false" ht="15" hidden="false" customHeight="false" outlineLevel="0" collapsed="false">
      <c r="B8" s="56" t="s">
        <v>175</v>
      </c>
      <c r="D8" s="57" t="n">
        <f aca="false">D6*D7</f>
        <v>0</v>
      </c>
      <c r="E8" s="57" t="n">
        <f aca="false">E6*E7</f>
        <v>468.875</v>
      </c>
      <c r="F8" s="57" t="n">
        <f aca="false">F6*F7</f>
        <v>1082.675</v>
      </c>
      <c r="G8" s="57" t="n">
        <f aca="false">G6*G7</f>
        <v>1295.91</v>
      </c>
      <c r="H8" s="57" t="n">
        <f aca="false">H6*H7</f>
        <v>1395.24</v>
      </c>
      <c r="I8" s="57" t="n">
        <f aca="false">I6*I7</f>
        <v>1393.15</v>
      </c>
      <c r="J8" s="57" t="n">
        <f aca="false">J6*J7</f>
        <v>1374.45</v>
      </c>
      <c r="K8" s="57" t="n">
        <f aca="false">K6*K7</f>
        <v>1355.75</v>
      </c>
      <c r="L8" s="57" t="n">
        <f aca="false">L6*L7</f>
        <v>1337.05</v>
      </c>
      <c r="M8" s="57" t="n">
        <f aca="false">M6*M7</f>
        <v>1318.35</v>
      </c>
    </row>
    <row r="9" customFormat="false" ht="15" hidden="false" customHeight="false" outlineLevel="0" collapsed="false">
      <c r="B9" s="22" t="s">
        <v>176</v>
      </c>
      <c r="D9" s="39" t="n">
        <f aca="false">-(Assumptions!D43*Assumptions!D49+Assumptions!D44*Assumptions!D50)</f>
        <v>-0</v>
      </c>
      <c r="E9" s="39" t="n">
        <f aca="false">-(Assumptions!E43*Assumptions!E49+Assumptions!E44*Assumptions!E50)</f>
        <v>-393.855</v>
      </c>
      <c r="F9" s="39" t="n">
        <f aca="false">-(Assumptions!F43*Assumptions!F49+Assumptions!F44*Assumptions!F50)</f>
        <v>-918.8245</v>
      </c>
      <c r="G9" s="39" t="n">
        <f aca="false">-(Assumptions!G43*Assumptions!G49+Assumptions!G44*Assumptions!G50)</f>
        <v>-1100.682</v>
      </c>
      <c r="H9" s="39" t="n">
        <f aca="false">-(Assumptions!H43*Assumptions!H49+Assumptions!H44*Assumptions!H50)</f>
        <v>-1185.7879</v>
      </c>
      <c r="I9" s="39" t="n">
        <f aca="false">-(Assumptions!I43*Assumptions!I49+Assumptions!I44*Assumptions!I50)</f>
        <v>-1184.1775</v>
      </c>
      <c r="J9" s="39" t="n">
        <f aca="false">-(Assumptions!J43*Assumptions!J49+Assumptions!J44*Assumptions!J50)</f>
        <v>-1168.2825</v>
      </c>
      <c r="K9" s="39" t="n">
        <f aca="false">-(Assumptions!K43*Assumptions!K49+Assumptions!K44*Assumptions!K50)</f>
        <v>-1152.3875</v>
      </c>
      <c r="L9" s="39" t="n">
        <f aca="false">-(Assumptions!L43*Assumptions!L49+Assumptions!L44*Assumptions!L50)</f>
        <v>-1136.4925</v>
      </c>
      <c r="M9" s="39" t="n">
        <f aca="false">-(Assumptions!M43*Assumptions!M49+Assumptions!M44*Assumptions!M50)</f>
        <v>-1120.5975</v>
      </c>
    </row>
    <row r="10" customFormat="false" ht="15" hidden="false" customHeight="false" outlineLevel="0" collapsed="false">
      <c r="B10" s="33" t="s">
        <v>177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75.02</v>
      </c>
      <c r="F12" s="57" t="n">
        <f aca="false">F8+F9</f>
        <v>163.8505</v>
      </c>
      <c r="G12" s="57" t="n">
        <f aca="false">G8+G9</f>
        <v>195.228</v>
      </c>
      <c r="H12" s="57" t="n">
        <f aca="false">H8+H9</f>
        <v>209.4521</v>
      </c>
      <c r="I12" s="57" t="n">
        <f aca="false">I8+I9</f>
        <v>208.9725</v>
      </c>
      <c r="J12" s="57" t="n">
        <f aca="false">J8+J9</f>
        <v>206.1675</v>
      </c>
      <c r="K12" s="57" t="n">
        <f aca="false">K8+K9</f>
        <v>203.3625</v>
      </c>
      <c r="L12" s="57" t="n">
        <f aca="false">L8+L9</f>
        <v>200.5575</v>
      </c>
      <c r="M12" s="57" t="n">
        <f aca="false">M8+M9</f>
        <v>197.7525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-28.1325</v>
      </c>
      <c r="F13" s="39" t="n">
        <f aca="false">-F8*Assumptions!$C$81</f>
        <v>-64.9605</v>
      </c>
      <c r="G13" s="39" t="n">
        <f aca="false">-G8*Assumptions!$C$81</f>
        <v>-77.7546</v>
      </c>
      <c r="H13" s="39" t="n">
        <f aca="false">-H8*Assumptions!$C$81</f>
        <v>-83.7144</v>
      </c>
      <c r="I13" s="39" t="n">
        <f aca="false">-I8*Assumptions!$C$81</f>
        <v>-83.589</v>
      </c>
      <c r="J13" s="39" t="n">
        <f aca="false">-J8*Assumptions!$C$81</f>
        <v>-82.467</v>
      </c>
      <c r="K13" s="39" t="n">
        <f aca="false">-K8*Assumptions!$C$81</f>
        <v>-81.345</v>
      </c>
      <c r="L13" s="39" t="n">
        <f aca="false">-L8*Assumptions!$C$81</f>
        <v>-80.223</v>
      </c>
      <c r="M13" s="39" t="n">
        <f aca="false">-M8*Assumptions!$C$81</f>
        <v>-79.101</v>
      </c>
    </row>
    <row r="14" customFormat="false" ht="15" hidden="false" customHeight="false" outlineLevel="0" collapsed="false">
      <c r="B14" s="22" t="s">
        <v>180</v>
      </c>
      <c r="D14" s="39" t="n">
        <f aca="false">Assumptions!D53</f>
        <v>104</v>
      </c>
      <c r="E14" s="39" t="n">
        <f aca="false">D14+Assumptions!E53</f>
        <v>197</v>
      </c>
      <c r="F14" s="39" t="n">
        <f aca="false">E14+Assumptions!F53</f>
        <v>218</v>
      </c>
      <c r="G14" s="39" t="n">
        <f aca="false">F14+Assumptions!G53</f>
        <v>218</v>
      </c>
      <c r="H14" s="39" t="n">
        <f aca="false">G14+Assumptions!H53</f>
        <v>218</v>
      </c>
      <c r="I14" s="39" t="n">
        <f aca="false">H14+Assumptions!I53</f>
        <v>218</v>
      </c>
      <c r="J14" s="39" t="n">
        <f aca="false">I14+Assumptions!J53</f>
        <v>218</v>
      </c>
      <c r="K14" s="39" t="n">
        <f aca="false">J14+Assumptions!K53</f>
        <v>218</v>
      </c>
      <c r="L14" s="39" t="n">
        <f aca="false">K14+Assumptions!L53</f>
        <v>218</v>
      </c>
      <c r="M14" s="39" t="n">
        <f aca="false">L14+Assumptions!M53</f>
        <v>218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-6.9368</v>
      </c>
      <c r="E15" s="39" t="n">
        <f aca="false">-E14*Assumptions!$C$82</f>
        <v>-13.1399</v>
      </c>
      <c r="F15" s="39" t="n">
        <f aca="false">-F14*Assumptions!$C$82</f>
        <v>-14.5406</v>
      </c>
      <c r="G15" s="39" t="n">
        <f aca="false">-G14*Assumptions!$C$82</f>
        <v>-14.5406</v>
      </c>
      <c r="H15" s="39" t="n">
        <f aca="false">-H14*Assumptions!$C$82</f>
        <v>-14.5406</v>
      </c>
      <c r="I15" s="39" t="n">
        <f aca="false">-I14*Assumptions!$C$82</f>
        <v>-14.5406</v>
      </c>
      <c r="J15" s="39" t="n">
        <f aca="false">-J14*Assumptions!$C$82</f>
        <v>-14.5406</v>
      </c>
      <c r="K15" s="39" t="n">
        <f aca="false">-K14*Assumptions!$C$82</f>
        <v>-14.5406</v>
      </c>
      <c r="L15" s="39" t="n">
        <f aca="false">-L14*Assumptions!$C$82</f>
        <v>-14.5406</v>
      </c>
      <c r="M15" s="39" t="n">
        <f aca="false">-M14*Assumptions!$C$82</f>
        <v>-14.5406</v>
      </c>
    </row>
    <row r="16" customFormat="false" ht="15" hidden="false" customHeight="false" outlineLevel="0" collapsed="false">
      <c r="B16" s="19" t="s">
        <v>182</v>
      </c>
      <c r="D16" s="39" t="n">
        <f aca="false">MAX(0,Assumptions!$C$85-(D12+D13))</f>
        <v>200</v>
      </c>
      <c r="E16" s="39" t="n">
        <f aca="false">MAX(0,Assumptions!$C$85-(E12+E13))</f>
        <v>153.1125</v>
      </c>
      <c r="F16" s="39" t="n">
        <f aca="false">MAX(0,Assumptions!$C$85-(F12+F13))</f>
        <v>101.11</v>
      </c>
      <c r="G16" s="39" t="n">
        <f aca="false">0</f>
        <v>0</v>
      </c>
      <c r="H16" s="39" t="n">
        <f aca="false">0</f>
        <v>0</v>
      </c>
      <c r="I16" s="39" t="n">
        <f aca="false">0</f>
        <v>0</v>
      </c>
      <c r="J16" s="39" t="n">
        <f aca="false">0</f>
        <v>0</v>
      </c>
      <c r="K16" s="39" t="n">
        <f aca="false">0</f>
        <v>0</v>
      </c>
      <c r="L16" s="39" t="n">
        <f aca="false">0</f>
        <v>0</v>
      </c>
      <c r="M16" s="39" t="n">
        <f aca="false">0</f>
        <v>0</v>
      </c>
    </row>
    <row r="17" customFormat="false" ht="15" hidden="false" customHeight="false" outlineLevel="0" collapsed="false">
      <c r="B17" s="56" t="s">
        <v>183</v>
      </c>
      <c r="D17" s="57" t="n">
        <f aca="false">D12+D13+D15+D16</f>
        <v>193.0632</v>
      </c>
      <c r="E17" s="57" t="n">
        <f aca="false">E12+E13+E15+E16</f>
        <v>186.8601</v>
      </c>
      <c r="F17" s="57" t="n">
        <f aca="false">F12+F13+F15+F16</f>
        <v>185.4594</v>
      </c>
      <c r="G17" s="57" t="n">
        <f aca="false">G12+G13+G15+G16</f>
        <v>102.9328</v>
      </c>
      <c r="H17" s="57" t="n">
        <f aca="false">H12+H13+H15+H16</f>
        <v>111.1971</v>
      </c>
      <c r="I17" s="57" t="n">
        <f aca="false">I12+I13+I15+I16</f>
        <v>110.8429</v>
      </c>
      <c r="J17" s="57" t="n">
        <f aca="false">J12+J13+J15+J16</f>
        <v>109.1599</v>
      </c>
      <c r="K17" s="57" t="n">
        <f aca="false">K12+K13+K15+K16</f>
        <v>107.4769</v>
      </c>
      <c r="L17" s="57" t="n">
        <f aca="false">L12+L13+L15+L16</f>
        <v>105.7939</v>
      </c>
      <c r="M17" s="57" t="n">
        <f aca="false">M12+M13+M15+M16</f>
        <v>104.1109</v>
      </c>
    </row>
    <row r="18" customFormat="false" ht="15" hidden="false" customHeight="false" outlineLevel="0" collapsed="false">
      <c r="B18" s="22" t="s">
        <v>184</v>
      </c>
      <c r="D18" s="58" t="n">
        <f aca="false">IF(D8=0,0,D17/D8)</f>
        <v>0</v>
      </c>
      <c r="E18" s="58" t="n">
        <f aca="false">IF(E8=0,0,E17/E8)</f>
        <v>0.398528605705145</v>
      </c>
      <c r="F18" s="58" t="n">
        <f aca="false">IF(F8=0,0,F17/F8)</f>
        <v>0.171297388412959</v>
      </c>
      <c r="G18" s="58" t="n">
        <f aca="false">IF(G8=0,0,G17/G8)</f>
        <v>0.0794289726910049</v>
      </c>
      <c r="H18" s="58" t="n">
        <f aca="false">IF(H8=0,0,H17/H8)</f>
        <v>0.0796974714027694</v>
      </c>
      <c r="I18" s="58" t="n">
        <f aca="false">IF(I8=0,0,I17/I8)</f>
        <v>0.0795627893622367</v>
      </c>
      <c r="J18" s="58" t="n">
        <f aca="false">IF(J8=0,0,J17/J8)</f>
        <v>0.0794207864964169</v>
      </c>
      <c r="K18" s="58" t="n">
        <f aca="false">IF(K8=0,0,K17/K8)</f>
        <v>0.0792748663101606</v>
      </c>
      <c r="L18" s="58" t="n">
        <f aca="false">IF(L8=0,0,L17/L8)</f>
        <v>0.0791248644403726</v>
      </c>
      <c r="M18" s="58" t="n">
        <f aca="false">IF(M8=0,0,M17/M8)</f>
        <v>0.078970607198392</v>
      </c>
    </row>
    <row r="19" customFormat="false" ht="15" hidden="false" customHeight="false" outlineLevel="0" collapsed="false">
      <c r="B19" s="22" t="s">
        <v>185</v>
      </c>
      <c r="D19" s="39" t="n">
        <f aca="false">(Assumptions!D45)*Assumptions!D8</f>
        <v>0</v>
      </c>
      <c r="E19" s="39" t="n">
        <f aca="false">(Assumptions!E45)*Assumptions!E8</f>
        <v>136.125</v>
      </c>
      <c r="F19" s="39" t="n">
        <f aca="false">(Assumptions!F45)*Assumptions!F8</f>
        <v>314.325</v>
      </c>
      <c r="G19" s="39" t="n">
        <f aca="false">(Assumptions!G45)*Assumptions!G8</f>
        <v>381.15</v>
      </c>
      <c r="H19" s="39" t="n">
        <f aca="false">(Assumptions!H45)*Assumptions!H8</f>
        <v>311.85</v>
      </c>
      <c r="I19" s="39" t="n">
        <f aca="false">(Assumptions!I45)*Assumptions!I8</f>
        <v>210.375</v>
      </c>
      <c r="J19" s="39" t="n">
        <f aca="false">(Assumptions!J45)*Assumptions!J8</f>
        <v>105.1875</v>
      </c>
      <c r="K19" s="39" t="n">
        <f aca="false">(Assumptions!K45)*Assumptions!K8</f>
        <v>0</v>
      </c>
      <c r="L19" s="39" t="n">
        <f aca="false">(Assumptions!L45)*Assumptions!L8</f>
        <v>0</v>
      </c>
      <c r="M19" s="39" t="n">
        <f aca="false">(Assumptions!M45)*Assumptions!M8</f>
        <v>0</v>
      </c>
    </row>
    <row r="20" customFormat="false" ht="15" hidden="false" customHeight="false" outlineLevel="0" collapsed="false">
      <c r="B20" s="56" t="s">
        <v>186</v>
      </c>
      <c r="D20" s="57" t="n">
        <f aca="false">D17+D19</f>
        <v>193.0632</v>
      </c>
      <c r="E20" s="57" t="n">
        <f aca="false">E17+E19</f>
        <v>322.9851</v>
      </c>
      <c r="F20" s="57" t="n">
        <f aca="false">F17+F19</f>
        <v>499.7844</v>
      </c>
      <c r="G20" s="57" t="n">
        <f aca="false">G17+G19</f>
        <v>484.0828</v>
      </c>
      <c r="H20" s="57" t="n">
        <f aca="false">H17+H19</f>
        <v>423.0471</v>
      </c>
      <c r="I20" s="57" t="n">
        <f aca="false">I17+I19</f>
        <v>321.2179</v>
      </c>
      <c r="J20" s="57" t="n">
        <f aca="false">J17+J19</f>
        <v>214.3474</v>
      </c>
      <c r="K20" s="57" t="n">
        <f aca="false">K17+K19</f>
        <v>107.4769</v>
      </c>
      <c r="L20" s="57" t="n">
        <f aca="false">L17+L19</f>
        <v>105.7939</v>
      </c>
      <c r="M20" s="57" t="n">
        <f aca="false">M17+M19</f>
        <v>104.1109</v>
      </c>
    </row>
    <row r="22" customFormat="false" ht="15" hidden="false" customHeight="false" outlineLevel="0" collapsed="false">
      <c r="B22" s="33" t="s">
        <v>187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customFormat="false" ht="15" hidden="false" customHeight="false" outlineLevel="0" collapsed="false">
      <c r="B23" s="16" t="s">
        <v>172</v>
      </c>
      <c r="C23" s="17"/>
      <c r="D23" s="18" t="s">
        <v>13</v>
      </c>
      <c r="E23" s="18" t="s">
        <v>14</v>
      </c>
      <c r="F23" s="18" t="s">
        <v>15</v>
      </c>
      <c r="G23" s="18" t="s">
        <v>16</v>
      </c>
      <c r="H23" s="18" t="s">
        <v>17</v>
      </c>
      <c r="I23" s="18" t="s">
        <v>18</v>
      </c>
      <c r="J23" s="18" t="s">
        <v>19</v>
      </c>
      <c r="K23" s="18" t="s">
        <v>20</v>
      </c>
      <c r="L23" s="18" t="s">
        <v>21</v>
      </c>
      <c r="M23" s="18" t="s">
        <v>22</v>
      </c>
    </row>
    <row r="24" customFormat="false" ht="15" hidden="false" customHeight="false" outlineLevel="0" collapsed="false">
      <c r="B24" s="19" t="s">
        <v>188</v>
      </c>
      <c r="D24" s="39" t="n">
        <f aca="false">MAX(0,D17)</f>
        <v>193.0632</v>
      </c>
      <c r="E24" s="39" t="n">
        <f aca="false">MAX(0,E17)</f>
        <v>186.8601</v>
      </c>
      <c r="F24" s="39" t="n">
        <f aca="false">MAX(0,F17)</f>
        <v>185.4594</v>
      </c>
      <c r="G24" s="39" t="n">
        <f aca="false">MAX(0,G17)</f>
        <v>102.9328</v>
      </c>
      <c r="H24" s="39" t="n">
        <f aca="false">MAX(0,H17)</f>
        <v>111.1971</v>
      </c>
      <c r="I24" s="39" t="n">
        <f aca="false">MAX(0,I17)</f>
        <v>110.8429</v>
      </c>
      <c r="J24" s="39" t="n">
        <f aca="false">MAX(0,J17)</f>
        <v>109.1599</v>
      </c>
      <c r="K24" s="39" t="n">
        <f aca="false">MAX(0,K17)</f>
        <v>107.4769</v>
      </c>
      <c r="L24" s="39" t="n">
        <f aca="false">MAX(0,L17)</f>
        <v>105.7939</v>
      </c>
      <c r="M24" s="39" t="n">
        <f aca="false">MAX(0,M17)</f>
        <v>104.1109</v>
      </c>
    </row>
    <row r="25" customFormat="false" ht="15" hidden="false" customHeight="false" outlineLevel="0" collapsed="false">
      <c r="B25" s="22" t="s">
        <v>189</v>
      </c>
      <c r="D25" s="39" t="n">
        <f aca="false">Assumptions!$C$88</f>
        <v>4000</v>
      </c>
      <c r="E25" s="39" t="n">
        <f aca="false">D28</f>
        <v>3845.54944</v>
      </c>
      <c r="F25" s="39" t="n">
        <f aca="false">E28</f>
        <v>3696.06136</v>
      </c>
      <c r="G25" s="39" t="n">
        <f aca="false">F28</f>
        <v>3547.69384</v>
      </c>
      <c r="H25" s="39" t="n">
        <f aca="false">G28</f>
        <v>3465.3476</v>
      </c>
      <c r="I25" s="39" t="n">
        <f aca="false">H28</f>
        <v>3376.38992</v>
      </c>
      <c r="J25" s="39" t="n">
        <f aca="false">I28</f>
        <v>3287.7156</v>
      </c>
      <c r="K25" s="39" t="n">
        <f aca="false">J28</f>
        <v>3200.38768</v>
      </c>
      <c r="L25" s="39" t="n">
        <f aca="false">K28</f>
        <v>3114.40616</v>
      </c>
      <c r="M25" s="39" t="n">
        <f aca="false">L28</f>
        <v>3029.77104</v>
      </c>
    </row>
    <row r="26" customFormat="false" ht="15" hidden="false" customHeight="false" outlineLevel="0" collapsed="false">
      <c r="B26" s="22" t="s">
        <v>190</v>
      </c>
      <c r="D26" s="39" t="n">
        <f aca="false">MIN(D25,D24*Assumptions!$C$90)</f>
        <v>154.45056</v>
      </c>
      <c r="E26" s="39" t="n">
        <f aca="false">MIN(E25,E24*Assumptions!$C$90)</f>
        <v>149.48808</v>
      </c>
      <c r="F26" s="39" t="n">
        <f aca="false">MIN(F25,F24*Assumptions!$C$90)</f>
        <v>148.36752</v>
      </c>
      <c r="G26" s="39" t="n">
        <f aca="false">MIN(G25,G24*Assumptions!$C$90)</f>
        <v>82.3462400000001</v>
      </c>
      <c r="H26" s="39" t="n">
        <f aca="false">MIN(H25,H24*Assumptions!$C$90)</f>
        <v>88.95768</v>
      </c>
      <c r="I26" s="39" t="n">
        <f aca="false">MIN(I25,I24*Assumptions!$C$90)</f>
        <v>88.6743200000001</v>
      </c>
      <c r="J26" s="39" t="n">
        <f aca="false">MIN(J25,J24*Assumptions!$C$90)</f>
        <v>87.3279200000002</v>
      </c>
      <c r="K26" s="39" t="n">
        <f aca="false">MIN(K25,K24*Assumptions!$C$90)</f>
        <v>85.9815200000002</v>
      </c>
      <c r="L26" s="39" t="n">
        <f aca="false">MIN(L25,L24*Assumptions!$C$90)</f>
        <v>84.6351200000001</v>
      </c>
      <c r="M26" s="39" t="n">
        <f aca="false">MIN(M25,M24*Assumptions!$C$90)</f>
        <v>83.2887200000001</v>
      </c>
    </row>
    <row r="27" customFormat="false" ht="15" hidden="false" customHeight="false" outlineLevel="0" collapsed="false">
      <c r="B27" s="22" t="s">
        <v>191</v>
      </c>
      <c r="D27" s="39" t="n">
        <f aca="false">MAX(0,-D17)</f>
        <v>0</v>
      </c>
      <c r="E27" s="39" t="n">
        <f aca="false">MAX(0,-E17)</f>
        <v>0</v>
      </c>
      <c r="F27" s="39" t="n">
        <f aca="false">MAX(0,-F17)</f>
        <v>0</v>
      </c>
      <c r="G27" s="39" t="n">
        <f aca="false">MAX(0,-G17)</f>
        <v>0</v>
      </c>
      <c r="H27" s="39" t="n">
        <f aca="false">MAX(0,-H17)</f>
        <v>0</v>
      </c>
      <c r="I27" s="39" t="n">
        <f aca="false">MAX(0,-I17)</f>
        <v>0</v>
      </c>
      <c r="J27" s="39" t="n">
        <f aca="false">MAX(0,-J17)</f>
        <v>0</v>
      </c>
      <c r="K27" s="39" t="n">
        <f aca="false">MAX(0,-K17)</f>
        <v>0</v>
      </c>
      <c r="L27" s="39" t="n">
        <f aca="false">MAX(0,-L17)</f>
        <v>0</v>
      </c>
      <c r="M27" s="39" t="n">
        <f aca="false">MAX(0,-M17)</f>
        <v>0</v>
      </c>
    </row>
    <row r="28" customFormat="false" ht="15" hidden="false" customHeight="false" outlineLevel="0" collapsed="false">
      <c r="B28" s="22" t="s">
        <v>192</v>
      </c>
      <c r="D28" s="39" t="n">
        <f aca="false">D25-D26+D27</f>
        <v>3845.54944</v>
      </c>
      <c r="E28" s="39" t="n">
        <f aca="false">E25-E26+E27</f>
        <v>3696.06136</v>
      </c>
      <c r="F28" s="39" t="n">
        <f aca="false">F25-F26+F27</f>
        <v>3547.69384</v>
      </c>
      <c r="G28" s="39" t="n">
        <f aca="false">G25-G26+G27</f>
        <v>3465.3476</v>
      </c>
      <c r="H28" s="39" t="n">
        <f aca="false">H25-H26+H27</f>
        <v>3376.38992</v>
      </c>
      <c r="I28" s="39" t="n">
        <f aca="false">I25-I26+I27</f>
        <v>3287.7156</v>
      </c>
      <c r="J28" s="39" t="n">
        <f aca="false">J25-J26+J27</f>
        <v>3200.38768</v>
      </c>
      <c r="K28" s="39" t="n">
        <f aca="false">K25-K26+K27</f>
        <v>3114.40616</v>
      </c>
      <c r="L28" s="39" t="n">
        <f aca="false">L25-L26+L27</f>
        <v>3029.77104</v>
      </c>
      <c r="M28" s="39" t="n">
        <f aca="false">M25-M26+M27</f>
        <v>2946.48232</v>
      </c>
    </row>
    <row r="29" customFormat="false" ht="15" hidden="false" customHeight="false" outlineLevel="0" collapsed="false">
      <c r="B29" s="19" t="s">
        <v>193</v>
      </c>
      <c r="D29" s="39" t="n">
        <f aca="false">D24-D26</f>
        <v>38.61264</v>
      </c>
      <c r="E29" s="39" t="n">
        <f aca="false">E24-E26</f>
        <v>37.37202</v>
      </c>
      <c r="F29" s="39" t="n">
        <f aca="false">F24-F26</f>
        <v>37.09188</v>
      </c>
      <c r="G29" s="39" t="n">
        <f aca="false">G24-G26</f>
        <v>20.58656</v>
      </c>
      <c r="H29" s="39" t="n">
        <f aca="false">H24-H26</f>
        <v>22.23942</v>
      </c>
      <c r="I29" s="39" t="n">
        <f aca="false">I24-I26</f>
        <v>22.16858</v>
      </c>
      <c r="J29" s="39" t="n">
        <f aca="false">J24-J26</f>
        <v>21.83198</v>
      </c>
      <c r="K29" s="39" t="n">
        <f aca="false">K24-K26</f>
        <v>21.49538</v>
      </c>
      <c r="L29" s="39" t="n">
        <f aca="false">L24-L26</f>
        <v>21.15878</v>
      </c>
      <c r="M29" s="39" t="n">
        <f aca="false">M24-M26</f>
        <v>20.82218</v>
      </c>
    </row>
    <row r="30" customFormat="false" ht="15" hidden="false" customHeight="false" outlineLevel="0" collapsed="false">
      <c r="B30" s="19" t="s">
        <v>194</v>
      </c>
      <c r="D30" s="39" t="n">
        <f aca="false">-D29*Assumptions!$C$87</f>
        <v>-8.8809072</v>
      </c>
      <c r="E30" s="39" t="n">
        <f aca="false">-E29*Assumptions!$C$87</f>
        <v>-8.5955646</v>
      </c>
      <c r="F30" s="39" t="n">
        <f aca="false">-F29*Assumptions!$C$87</f>
        <v>-8.5311324</v>
      </c>
      <c r="G30" s="39" t="n">
        <f aca="false">-G29*Assumptions!$C$87</f>
        <v>-4.7349088</v>
      </c>
      <c r="H30" s="39" t="n">
        <f aca="false">-H29*Assumptions!$C$87</f>
        <v>-5.1150666</v>
      </c>
      <c r="I30" s="39" t="n">
        <f aca="false">-I29*Assumptions!$C$87</f>
        <v>-5.09877340000001</v>
      </c>
      <c r="J30" s="39" t="n">
        <f aca="false">-J29*Assumptions!$C$87</f>
        <v>-5.02135540000001</v>
      </c>
      <c r="K30" s="39" t="n">
        <f aca="false">-K29*Assumptions!$C$87</f>
        <v>-4.94393740000001</v>
      </c>
      <c r="L30" s="39" t="n">
        <f aca="false">-L29*Assumptions!$C$87</f>
        <v>-4.86651940000001</v>
      </c>
      <c r="M30" s="39" t="n">
        <f aca="false">-M29*Assumptions!$C$87</f>
        <v>-4.7891014</v>
      </c>
    </row>
    <row r="31" customFormat="false" ht="15" hidden="false" customHeight="false" outlineLevel="0" collapsed="false">
      <c r="B31" s="56" t="s">
        <v>195</v>
      </c>
      <c r="D31" s="57" t="n">
        <f aca="false">D20+D30</f>
        <v>184.1822928</v>
      </c>
      <c r="E31" s="57" t="n">
        <f aca="false">E20+E30</f>
        <v>314.3895354</v>
      </c>
      <c r="F31" s="57" t="n">
        <f aca="false">F20+F30</f>
        <v>491.2532676</v>
      </c>
      <c r="G31" s="57" t="n">
        <f aca="false">G20+G30</f>
        <v>479.3478912</v>
      </c>
      <c r="H31" s="57" t="n">
        <f aca="false">H20+H30</f>
        <v>417.9320334</v>
      </c>
      <c r="I31" s="57" t="n">
        <f aca="false">I20+I30</f>
        <v>316.1191266</v>
      </c>
      <c r="J31" s="57" t="n">
        <f aca="false">J20+J30</f>
        <v>209.3260446</v>
      </c>
      <c r="K31" s="57" t="n">
        <f aca="false">K20+K30</f>
        <v>102.5329626</v>
      </c>
      <c r="L31" s="57" t="n">
        <f aca="false">L20+L30</f>
        <v>100.9273806</v>
      </c>
      <c r="M31" s="57" t="n">
        <f aca="false">M20+M30</f>
        <v>99.3217986000001</v>
      </c>
    </row>
    <row r="32" customFormat="false" ht="15" hidden="false" customHeight="false" outlineLevel="0" collapsed="false">
      <c r="B32" s="22" t="s">
        <v>196</v>
      </c>
      <c r="D32" s="39" t="n">
        <f aca="false">-D15</f>
        <v>6.9368</v>
      </c>
      <c r="E32" s="39" t="n">
        <f aca="false">-E15</f>
        <v>13.1399</v>
      </c>
      <c r="F32" s="39" t="n">
        <f aca="false">-F15</f>
        <v>14.5406</v>
      </c>
      <c r="G32" s="39" t="n">
        <f aca="false">-G15</f>
        <v>14.5406</v>
      </c>
      <c r="H32" s="39" t="n">
        <f aca="false">-H15</f>
        <v>14.5406</v>
      </c>
      <c r="I32" s="39" t="n">
        <f aca="false">-I15</f>
        <v>14.5406</v>
      </c>
      <c r="J32" s="39" t="n">
        <f aca="false">-J15</f>
        <v>14.5406</v>
      </c>
      <c r="K32" s="39" t="n">
        <f aca="false">-K15</f>
        <v>14.5406</v>
      </c>
      <c r="L32" s="39" t="n">
        <f aca="false">-L15</f>
        <v>14.5406</v>
      </c>
      <c r="M32" s="39" t="n">
        <f aca="false">-M15</f>
        <v>14.5406</v>
      </c>
    </row>
    <row r="33" customFormat="false" ht="15" hidden="false" customHeight="false" outlineLevel="0" collapsed="false">
      <c r="B33" s="22" t="s">
        <v>197</v>
      </c>
      <c r="D33" s="39" t="n">
        <f aca="false">-D8*Assumptions!$C$83</f>
        <v>-0</v>
      </c>
      <c r="E33" s="39" t="n">
        <f aca="false">-E8*Assumptions!$C$83</f>
        <v>-14.06625</v>
      </c>
      <c r="F33" s="39" t="n">
        <f aca="false">-F8*Assumptions!$C$83</f>
        <v>-32.48025</v>
      </c>
      <c r="G33" s="39" t="n">
        <f aca="false">-G8*Assumptions!$C$83</f>
        <v>-38.8773</v>
      </c>
      <c r="H33" s="39" t="n">
        <f aca="false">-H8*Assumptions!$C$83</f>
        <v>-41.8572</v>
      </c>
      <c r="I33" s="39" t="n">
        <f aca="false">-I8*Assumptions!$C$83</f>
        <v>-41.7945</v>
      </c>
      <c r="J33" s="39" t="n">
        <f aca="false">-J8*Assumptions!$C$83</f>
        <v>-41.2335</v>
      </c>
      <c r="K33" s="39" t="n">
        <f aca="false">-K8*Assumptions!$C$83</f>
        <v>-40.6725</v>
      </c>
      <c r="L33" s="39" t="n">
        <f aca="false">-L8*Assumptions!$C$83</f>
        <v>-40.1115</v>
      </c>
      <c r="M33" s="39" t="n">
        <f aca="false">-M8*Assumptions!$C$83</f>
        <v>-39.5505</v>
      </c>
    </row>
    <row r="34" customFormat="false" ht="15" hidden="false" customHeight="false" outlineLevel="0" collapsed="false">
      <c r="B34" s="22" t="s">
        <v>198</v>
      </c>
      <c r="D34" s="39" t="n">
        <f aca="false">-Assumptions!D53</f>
        <v>-104</v>
      </c>
      <c r="E34" s="39" t="n">
        <f aca="false">-Assumptions!E53</f>
        <v>-93</v>
      </c>
      <c r="F34" s="39" t="n">
        <f aca="false">-Assumptions!F53</f>
        <v>-21</v>
      </c>
      <c r="G34" s="39" t="n">
        <f aca="false">-Assumptions!G53</f>
        <v>-0</v>
      </c>
      <c r="H34" s="39" t="n">
        <f aca="false">-Assumptions!H53</f>
        <v>-0</v>
      </c>
      <c r="I34" s="39" t="n">
        <f aca="false">-Assumptions!I53</f>
        <v>-0</v>
      </c>
      <c r="J34" s="39" t="n">
        <f aca="false">-Assumptions!J53</f>
        <v>-0</v>
      </c>
      <c r="K34" s="39" t="n">
        <f aca="false">-Assumptions!K53</f>
        <v>-0</v>
      </c>
      <c r="L34" s="39" t="n">
        <f aca="false">-Assumptions!L53</f>
        <v>-0</v>
      </c>
      <c r="M34" s="39" t="n">
        <f aca="false">-Assumptions!M53</f>
        <v>-0</v>
      </c>
    </row>
    <row r="35" customFormat="false" ht="15" hidden="false" customHeight="false" outlineLevel="0" collapsed="false">
      <c r="B35" s="22" t="s">
        <v>199</v>
      </c>
      <c r="D35" s="39" t="n">
        <f aca="false">Assumptions!D53*Assumptions!$C$84</f>
        <v>10.4</v>
      </c>
      <c r="E35" s="39" t="n">
        <f aca="false">Assumptions!E53*Assumptions!$C$84</f>
        <v>9.3</v>
      </c>
      <c r="F35" s="39" t="n">
        <f aca="false">Assumptions!F53*Assumptions!$C$84</f>
        <v>2.1</v>
      </c>
      <c r="G35" s="39" t="n">
        <f aca="false">Assumptions!G53*Assumptions!$C$84</f>
        <v>0</v>
      </c>
      <c r="H35" s="39" t="n">
        <f aca="false">Assumptions!H53*Assumptions!$C$84</f>
        <v>0</v>
      </c>
      <c r="I35" s="39" t="n">
        <f aca="false">Assumptions!I53*Assumptions!$C$84</f>
        <v>0</v>
      </c>
      <c r="J35" s="39" t="n">
        <f aca="false">Assumptions!J53*Assumptions!$C$84</f>
        <v>0</v>
      </c>
      <c r="K35" s="39" t="n">
        <f aca="false">Assumptions!K53*Assumptions!$C$84</f>
        <v>0</v>
      </c>
      <c r="L35" s="39" t="n">
        <f aca="false">Assumptions!L53*Assumptions!$C$84</f>
        <v>0</v>
      </c>
      <c r="M35" s="39" t="n">
        <f aca="false">Assumptions!M53*Assumptions!$C$84</f>
        <v>0</v>
      </c>
    </row>
    <row r="36" customFormat="false" ht="15" hidden="false" customHeight="false" outlineLevel="0" collapsed="false">
      <c r="B36" s="22" t="s">
        <v>200</v>
      </c>
      <c r="D36" s="39" t="n">
        <f aca="false">D8*Assumptions!$C$86</f>
        <v>0</v>
      </c>
      <c r="E36" s="39" t="n">
        <f aca="false">E8*Assumptions!$C$86</f>
        <v>70.33125</v>
      </c>
      <c r="F36" s="39" t="n">
        <f aca="false">F8*Assumptions!$C$86</f>
        <v>162.40125</v>
      </c>
      <c r="G36" s="39" t="n">
        <f aca="false">G8*Assumptions!$C$86</f>
        <v>194.3865</v>
      </c>
      <c r="H36" s="39" t="n">
        <f aca="false">H8*Assumptions!$C$86</f>
        <v>209.286</v>
      </c>
      <c r="I36" s="39" t="n">
        <f aca="false">I8*Assumptions!$C$86</f>
        <v>208.9725</v>
      </c>
      <c r="J36" s="39" t="n">
        <f aca="false">J8*Assumptions!$C$86</f>
        <v>206.1675</v>
      </c>
      <c r="K36" s="39" t="n">
        <f aca="false">K8*Assumptions!$C$86</f>
        <v>203.3625</v>
      </c>
      <c r="L36" s="39" t="n">
        <f aca="false">L8*Assumptions!$C$86</f>
        <v>200.5575</v>
      </c>
      <c r="M36" s="39" t="n">
        <f aca="false">M8*Assumptions!$C$86</f>
        <v>197.7525</v>
      </c>
    </row>
    <row r="37" customFormat="false" ht="15" hidden="false" customHeight="false" outlineLevel="0" collapsed="false">
      <c r="B37" s="22" t="s">
        <v>201</v>
      </c>
      <c r="D37" s="39" t="n">
        <f aca="false">-D36</f>
        <v>-0</v>
      </c>
      <c r="E37" s="39" t="n">
        <f aca="false">-(E36-D36)</f>
        <v>-70.33125</v>
      </c>
      <c r="F37" s="39" t="n">
        <f aca="false">-(F36-E36)</f>
        <v>-92.07</v>
      </c>
      <c r="G37" s="39" t="n">
        <f aca="false">-(G36-F36)</f>
        <v>-31.98525</v>
      </c>
      <c r="H37" s="39" t="n">
        <f aca="false">-(H36-G36)</f>
        <v>-14.8995</v>
      </c>
      <c r="I37" s="39" t="n">
        <f aca="false">-(I36-H36)</f>
        <v>0.313500000000005</v>
      </c>
      <c r="J37" s="39" t="n">
        <f aca="false">-(J36-I36)</f>
        <v>2.80499999999998</v>
      </c>
      <c r="K37" s="39" t="n">
        <f aca="false">-(K36-J36)</f>
        <v>2.80500000000001</v>
      </c>
      <c r="L37" s="39" t="n">
        <f aca="false">-(L36-K36)</f>
        <v>2.80500000000001</v>
      </c>
      <c r="M37" s="39" t="n">
        <f aca="false">-(M36-L36)</f>
        <v>2.80500000000001</v>
      </c>
    </row>
    <row r="38" customFormat="false" ht="15" hidden="false" customHeight="false" outlineLevel="0" collapsed="false">
      <c r="B38" s="59" t="s">
        <v>202</v>
      </c>
      <c r="D38" s="60" t="n">
        <f aca="false">D31+D32+D33+D34+D35+D37</f>
        <v>97.5190928</v>
      </c>
      <c r="E38" s="60" t="n">
        <f aca="false">E31+E32+E33+E34+E35+E37</f>
        <v>159.4319354</v>
      </c>
      <c r="F38" s="60" t="n">
        <f aca="false">F31+F32+F33+F34+F35+F37</f>
        <v>362.3436176</v>
      </c>
      <c r="G38" s="60" t="n">
        <f aca="false">G31+G32+G33+G34+G35+G37</f>
        <v>423.0259412</v>
      </c>
      <c r="H38" s="60" t="n">
        <f aca="false">H31+H32+H33+H34+H35+H37</f>
        <v>375.7159334</v>
      </c>
      <c r="I38" s="60" t="n">
        <f aca="false">I31+I32+I33+I34+I35+I37</f>
        <v>289.1787266</v>
      </c>
      <c r="J38" s="60" t="n">
        <f aca="false">J31+J32+J33+J34+J35+J37</f>
        <v>185.4381446</v>
      </c>
      <c r="K38" s="60" t="n">
        <f aca="false">K31+K32+K33+K34+K35+K37</f>
        <v>79.2060626000002</v>
      </c>
      <c r="L38" s="60" t="n">
        <f aca="false">L31+L32+L33+L34+L35+L37</f>
        <v>78.1614806000001</v>
      </c>
      <c r="M38" s="60" t="n">
        <f aca="false">M31+M32+M33+M34+M35+M37</f>
        <v>77.1168986000001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203</v>
      </c>
    </row>
    <row r="2" customFormat="false" ht="15" hidden="false" customHeight="false" outlineLevel="0" collapsed="false">
      <c r="B2" s="54" t="s">
        <v>204</v>
      </c>
    </row>
    <row r="4" customFormat="false" ht="15" hidden="false" customHeight="false" outlineLevel="0" collapsed="false">
      <c r="B4" s="13" t="s">
        <v>205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19" t="s">
        <v>206</v>
      </c>
      <c r="D6" s="61" t="n">
        <f aca="false">Assumptions!D69*Assumptions!D72</f>
        <v>0</v>
      </c>
      <c r="E6" s="61" t="n">
        <f aca="false">Assumptions!E69*Assumptions!E72</f>
        <v>0</v>
      </c>
      <c r="F6" s="61" t="n">
        <f aca="false">Assumptions!F69*Assumptions!F72</f>
        <v>723.168</v>
      </c>
      <c r="G6" s="61" t="n">
        <f aca="false">Assumptions!G69*Assumptions!G72</f>
        <v>2300.1408</v>
      </c>
      <c r="H6" s="61" t="n">
        <f aca="false">Assumptions!H69*Assumptions!H72</f>
        <v>2935.44</v>
      </c>
      <c r="I6" s="61" t="n">
        <f aca="false">Assumptions!I69*Assumptions!I72</f>
        <v>3282.768</v>
      </c>
      <c r="J6" s="61" t="n">
        <f aca="false">Assumptions!J69*Assumptions!J72</f>
        <v>3238.704</v>
      </c>
      <c r="K6" s="61" t="n">
        <f aca="false">Assumptions!K69*Assumptions!K72</f>
        <v>3194.64</v>
      </c>
      <c r="L6" s="61" t="n">
        <f aca="false">Assumptions!L69*Assumptions!L72</f>
        <v>3150.576</v>
      </c>
      <c r="M6" s="61" t="n">
        <f aca="false">Assumptions!M69*Assumptions!M72</f>
        <v>3106.512</v>
      </c>
    </row>
    <row r="7" customFormat="false" ht="15" hidden="false" customHeight="false" outlineLevel="0" collapsed="false">
      <c r="B7" s="19" t="s">
        <v>207</v>
      </c>
      <c r="D7" s="61" t="n">
        <f aca="false">Assumptions!D70*Assumptions!D75</f>
        <v>0</v>
      </c>
      <c r="E7" s="61" t="n">
        <f aca="false">Assumptions!E70*Assumptions!E75</f>
        <v>0</v>
      </c>
      <c r="F7" s="61" t="n">
        <f aca="false">Assumptions!F70*Assumptions!F75</f>
        <v>75.33</v>
      </c>
      <c r="G7" s="61" t="n">
        <f aca="false">Assumptions!G70*Assumptions!G75</f>
        <v>239.598</v>
      </c>
      <c r="H7" s="61" t="n">
        <f aca="false">Assumptions!H70*Assumptions!H75</f>
        <v>305.775</v>
      </c>
      <c r="I7" s="61" t="n">
        <f aca="false">Assumptions!I70*Assumptions!I75</f>
        <v>341.955</v>
      </c>
      <c r="J7" s="61" t="n">
        <f aca="false">Assumptions!J70*Assumptions!J75</f>
        <v>337.365</v>
      </c>
      <c r="K7" s="61" t="n">
        <f aca="false">Assumptions!K70*Assumptions!K75</f>
        <v>332.775</v>
      </c>
      <c r="L7" s="61" t="n">
        <f aca="false">Assumptions!L70*Assumptions!L75</f>
        <v>328.185</v>
      </c>
      <c r="M7" s="61" t="n">
        <f aca="false">Assumptions!M70*Assumptions!M75</f>
        <v>323.595</v>
      </c>
    </row>
    <row r="8" customFormat="false" ht="15" hidden="false" customHeight="false" outlineLevel="0" collapsed="false">
      <c r="B8" s="56" t="s">
        <v>208</v>
      </c>
      <c r="D8" s="57" t="n">
        <f aca="false">D6+D7</f>
        <v>0</v>
      </c>
      <c r="E8" s="57" t="n">
        <f aca="false">E6+E7</f>
        <v>0</v>
      </c>
      <c r="F8" s="57" t="n">
        <f aca="false">F6+F7</f>
        <v>798.498</v>
      </c>
      <c r="G8" s="57" t="n">
        <f aca="false">G6+G7</f>
        <v>2539.7388</v>
      </c>
      <c r="H8" s="57" t="n">
        <f aca="false">H6+H7</f>
        <v>3241.215</v>
      </c>
      <c r="I8" s="57" t="n">
        <f aca="false">I6+I7</f>
        <v>3624.723</v>
      </c>
      <c r="J8" s="57" t="n">
        <f aca="false">J6+J7</f>
        <v>3576.069</v>
      </c>
      <c r="K8" s="57" t="n">
        <f aca="false">K6+K7</f>
        <v>3527.415</v>
      </c>
      <c r="L8" s="57" t="n">
        <f aca="false">L6+L7</f>
        <v>3478.761</v>
      </c>
      <c r="M8" s="57" t="n">
        <f aca="false">M6+M7</f>
        <v>3430.107</v>
      </c>
    </row>
    <row r="9" customFormat="false" ht="15" hidden="false" customHeight="false" outlineLevel="0" collapsed="false">
      <c r="B9" s="22" t="s">
        <v>209</v>
      </c>
      <c r="D9" s="39" t="n">
        <f aca="false">-(Assumptions!D69*Assumptions!D74+Assumptions!D70*Assumptions!D77)</f>
        <v>-0</v>
      </c>
      <c r="E9" s="39" t="n">
        <f aca="false">-(Assumptions!E69*Assumptions!E74+Assumptions!E70*Assumptions!E77)</f>
        <v>-0</v>
      </c>
      <c r="F9" s="39" t="n">
        <f aca="false">-(Assumptions!F69*Assumptions!F74+Assumptions!F70*Assumptions!F77)</f>
        <v>-678.7233</v>
      </c>
      <c r="G9" s="39" t="n">
        <f aca="false">-(Assumptions!G69*Assumptions!G74+Assumptions!G70*Assumptions!G77)</f>
        <v>-2158.77798</v>
      </c>
      <c r="H9" s="39" t="n">
        <f aca="false">-(Assumptions!H69*Assumptions!H74+Assumptions!H70*Assumptions!H77)</f>
        <v>-2755.03275</v>
      </c>
      <c r="I9" s="39" t="n">
        <f aca="false">-(Assumptions!I69*Assumptions!I74+Assumptions!I70*Assumptions!I77)</f>
        <v>-3081.01455</v>
      </c>
      <c r="J9" s="39" t="n">
        <f aca="false">-(Assumptions!J69*Assumptions!J74+Assumptions!J70*Assumptions!J77)</f>
        <v>-3039.65865</v>
      </c>
      <c r="K9" s="39" t="n">
        <f aca="false">-(Assumptions!K69*Assumptions!K74+Assumptions!K70*Assumptions!K77)</f>
        <v>-2998.30275</v>
      </c>
      <c r="L9" s="39" t="n">
        <f aca="false">-(Assumptions!L69*Assumptions!L74+Assumptions!L70*Assumptions!L77)</f>
        <v>-2956.94685</v>
      </c>
      <c r="M9" s="39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3" t="s">
        <v>177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0</v>
      </c>
      <c r="F12" s="57" t="n">
        <f aca="false">F8+F9</f>
        <v>119.7747</v>
      </c>
      <c r="G12" s="57" t="n">
        <f aca="false">G8+G9</f>
        <v>380.96082</v>
      </c>
      <c r="H12" s="57" t="n">
        <f aca="false">H8+H9</f>
        <v>486.18225</v>
      </c>
      <c r="I12" s="57" t="n">
        <f aca="false">I8+I9</f>
        <v>543.70845</v>
      </c>
      <c r="J12" s="57" t="n">
        <f aca="false">J8+J9</f>
        <v>536.410350000001</v>
      </c>
      <c r="K12" s="57" t="n">
        <f aca="false">K8+K9</f>
        <v>529.11225</v>
      </c>
      <c r="L12" s="57" t="n">
        <f aca="false">L8+L9</f>
        <v>521.81415</v>
      </c>
      <c r="M12" s="57" t="n">
        <f aca="false">M8+M9</f>
        <v>514.51605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-0</v>
      </c>
      <c r="F13" s="39" t="n">
        <f aca="false">-F8*Assumptions!$C$81</f>
        <v>-47.90988</v>
      </c>
      <c r="G13" s="39" t="n">
        <f aca="false">-G8*Assumptions!$C$81</f>
        <v>-152.384328</v>
      </c>
      <c r="H13" s="39" t="n">
        <f aca="false">-H8*Assumptions!$C$81</f>
        <v>-194.4729</v>
      </c>
      <c r="I13" s="39" t="n">
        <f aca="false">-I8*Assumptions!$C$81</f>
        <v>-217.48338</v>
      </c>
      <c r="J13" s="39" t="n">
        <f aca="false">-J8*Assumptions!$C$81</f>
        <v>-214.56414</v>
      </c>
      <c r="K13" s="39" t="n">
        <f aca="false">-K8*Assumptions!$C$81</f>
        <v>-211.6449</v>
      </c>
      <c r="L13" s="39" t="n">
        <f aca="false">-L8*Assumptions!$C$81</f>
        <v>-208.72566</v>
      </c>
      <c r="M13" s="39" t="n">
        <f aca="false">-M8*Assumptions!$C$81</f>
        <v>-205.80642</v>
      </c>
    </row>
    <row r="14" customFormat="false" ht="15" hidden="false" customHeight="false" outlineLevel="0" collapsed="false">
      <c r="B14" s="22" t="s">
        <v>180</v>
      </c>
      <c r="D14" s="39" t="n">
        <f aca="false">Assumptions!D78</f>
        <v>200</v>
      </c>
      <c r="E14" s="39" t="n">
        <f aca="false">D14+Assumptions!E78</f>
        <v>700</v>
      </c>
      <c r="F14" s="39" t="n">
        <f aca="false">E14+Assumptions!F78</f>
        <v>1000</v>
      </c>
      <c r="G14" s="39" t="n">
        <f aca="false">F14+Assumptions!G78</f>
        <v>1000</v>
      </c>
      <c r="H14" s="39" t="n">
        <f aca="false">G14+Assumptions!H78</f>
        <v>1000</v>
      </c>
      <c r="I14" s="39" t="n">
        <f aca="false">H14+Assumptions!I78</f>
        <v>1000</v>
      </c>
      <c r="J14" s="39" t="n">
        <f aca="false">I14+Assumptions!J78</f>
        <v>1000</v>
      </c>
      <c r="K14" s="39" t="n">
        <f aca="false">J14+Assumptions!K78</f>
        <v>1000</v>
      </c>
      <c r="L14" s="39" t="n">
        <f aca="false">K14+Assumptions!L78</f>
        <v>1000</v>
      </c>
      <c r="M14" s="39" t="n">
        <f aca="false">L14+Assumptions!M78</f>
        <v>1000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-46.69</v>
      </c>
      <c r="F15" s="39" t="n">
        <f aca="false">-F14*Assumptions!$C$82</f>
        <v>-66.7</v>
      </c>
      <c r="G15" s="39" t="n">
        <f aca="false">-G14*Assumptions!$C$82</f>
        <v>-66.7</v>
      </c>
      <c r="H15" s="39" t="n">
        <f aca="false">-H14*Assumptions!$C$82</f>
        <v>-66.7</v>
      </c>
      <c r="I15" s="39" t="n">
        <f aca="false">-I14*Assumptions!$C$82</f>
        <v>-66.7</v>
      </c>
      <c r="J15" s="39" t="n">
        <f aca="false">-J14*Assumptions!$C$82</f>
        <v>-66.7</v>
      </c>
      <c r="K15" s="39" t="n">
        <f aca="false">-K14*Assumptions!$C$82</f>
        <v>-66.7</v>
      </c>
      <c r="L15" s="39" t="n">
        <f aca="false">-L14*Assumptions!$C$82</f>
        <v>-66.7</v>
      </c>
      <c r="M15" s="39" t="n">
        <f aca="false">-M14*Assumptions!$C$82</f>
        <v>-66.7</v>
      </c>
    </row>
    <row r="16" customFormat="false" ht="15" hidden="false" customHeight="false" outlineLevel="0" collapsed="false">
      <c r="B16" s="56" t="s">
        <v>183</v>
      </c>
      <c r="D16" s="57" t="n">
        <f aca="false">D12+D13+D15</f>
        <v>-13.34</v>
      </c>
      <c r="E16" s="57" t="n">
        <f aca="false">E12+E13+E15</f>
        <v>-46.69</v>
      </c>
      <c r="F16" s="57" t="n">
        <f aca="false">F12+F13+F15</f>
        <v>5.16482000000008</v>
      </c>
      <c r="G16" s="57" t="n">
        <f aca="false">G12+G13+G15</f>
        <v>161.876492</v>
      </c>
      <c r="H16" s="57" t="n">
        <f aca="false">H12+H13+H15</f>
        <v>225.00935</v>
      </c>
      <c r="I16" s="57" t="n">
        <f aca="false">I12+I13+I15</f>
        <v>259.52507</v>
      </c>
      <c r="J16" s="57" t="n">
        <f aca="false">J12+J13+J15</f>
        <v>255.146210000001</v>
      </c>
      <c r="K16" s="57" t="n">
        <f aca="false">K12+K13+K15</f>
        <v>250.76735</v>
      </c>
      <c r="L16" s="57" t="n">
        <f aca="false">L12+L13+L15</f>
        <v>246.38849</v>
      </c>
      <c r="M16" s="57" t="n">
        <f aca="false">M12+M13+M15</f>
        <v>242.00963</v>
      </c>
    </row>
    <row r="17" customFormat="false" ht="15" hidden="false" customHeight="false" outlineLevel="0" collapsed="false">
      <c r="B17" s="22" t="s">
        <v>184</v>
      </c>
      <c r="D17" s="58" t="n">
        <f aca="false">IF(D8=0,0,D16/D8)</f>
        <v>0</v>
      </c>
      <c r="E17" s="58" t="n">
        <f aca="false">IF(E8=0,0,E16/E8)</f>
        <v>0</v>
      </c>
      <c r="F17" s="58" t="n">
        <f aca="false">IF(F8=0,0,F16/F8)</f>
        <v>0.0064681689872737</v>
      </c>
      <c r="G17" s="58" t="n">
        <f aca="false">IF(G8=0,0,G16/G8)</f>
        <v>0.0637374567809886</v>
      </c>
      <c r="H17" s="58" t="n">
        <f aca="false">IF(H8=0,0,H16/H8)</f>
        <v>0.0694212972604409</v>
      </c>
      <c r="I17" s="58" t="n">
        <f aca="false">IF(I8=0,0,I16/I8)</f>
        <v>0.0715985938787598</v>
      </c>
      <c r="J17" s="58" t="n">
        <f aca="false">IF(J8=0,0,J16/J8)</f>
        <v>0.0713482346118043</v>
      </c>
      <c r="K17" s="58" t="n">
        <f aca="false">IF(K8=0,0,K16/K8)</f>
        <v>0.0710909688823118</v>
      </c>
      <c r="L17" s="58" t="n">
        <f aca="false">IF(L8=0,0,L16/L8)</f>
        <v>0.0708265069086379</v>
      </c>
      <c r="M17" s="58" t="n">
        <f aca="false">IF(M8=0,0,M16/M8)</f>
        <v>0.0705545424676257</v>
      </c>
    </row>
    <row r="18" customFormat="false" ht="15" hidden="false" customHeight="false" outlineLevel="0" collapsed="false">
      <c r="B18" s="22" t="s">
        <v>185</v>
      </c>
      <c r="D18" s="39" t="n">
        <f aca="false">(Assumptions!D69+Assumptions!D70)*Assumptions!D8</f>
        <v>0</v>
      </c>
      <c r="E18" s="39" t="n">
        <f aca="false">(Assumptions!E69+Assumptions!E70)*Assumptions!E8</f>
        <v>0</v>
      </c>
      <c r="F18" s="39" t="n">
        <f aca="false">(Assumptions!F69+Assumptions!F70)*Assumptions!F8</f>
        <v>240.57</v>
      </c>
      <c r="G18" s="39" t="n">
        <f aca="false">(Assumptions!G69+Assumptions!G70)*Assumptions!G8</f>
        <v>775.17</v>
      </c>
      <c r="H18" s="39" t="n">
        <f aca="false">(Assumptions!H69+Assumptions!H70)*Assumptions!H8</f>
        <v>751.78125</v>
      </c>
      <c r="I18" s="39" t="n">
        <f aca="false">(Assumptions!I69+Assumptions!I70)*Assumptions!I8</f>
        <v>568.0125</v>
      </c>
      <c r="J18" s="39" t="n">
        <f aca="false">(Assumptions!J69+Assumptions!J70)*Assumptions!J8</f>
        <v>284.00625</v>
      </c>
      <c r="K18" s="39" t="n">
        <f aca="false">(Assumptions!K69+Assumptions!K70)*Assumptions!K8</f>
        <v>0</v>
      </c>
      <c r="L18" s="39" t="n">
        <f aca="false">(Assumptions!L69+Assumptions!L70)*Assumptions!L8</f>
        <v>0</v>
      </c>
      <c r="M18" s="39" t="n">
        <f aca="false">(Assumptions!M69+Assumptions!M70)*Assumptions!M8</f>
        <v>0</v>
      </c>
    </row>
    <row r="19" customFormat="false" ht="15" hidden="false" customHeight="false" outlineLevel="0" collapsed="false">
      <c r="B19" s="56" t="s">
        <v>186</v>
      </c>
      <c r="D19" s="57" t="n">
        <f aca="false">D16+D18</f>
        <v>-13.34</v>
      </c>
      <c r="E19" s="57" t="n">
        <f aca="false">E16+E18</f>
        <v>-46.69</v>
      </c>
      <c r="F19" s="57" t="n">
        <f aca="false">F16+F18</f>
        <v>245.73482</v>
      </c>
      <c r="G19" s="57" t="n">
        <f aca="false">G16+G18</f>
        <v>937.046492</v>
      </c>
      <c r="H19" s="57" t="n">
        <f aca="false">H16+H18</f>
        <v>976.7906</v>
      </c>
      <c r="I19" s="57" t="n">
        <f aca="false">I16+I18</f>
        <v>827.53757</v>
      </c>
      <c r="J19" s="57" t="n">
        <f aca="false">J16+J18</f>
        <v>539.152460000001</v>
      </c>
      <c r="K19" s="57" t="n">
        <f aca="false">K16+K18</f>
        <v>250.76735</v>
      </c>
      <c r="L19" s="57" t="n">
        <f aca="false">L16+L18</f>
        <v>246.38849</v>
      </c>
      <c r="M19" s="57" t="n">
        <f aca="false">M16+M18</f>
        <v>242.00963</v>
      </c>
    </row>
    <row r="21" customFormat="false" ht="15" hidden="false" customHeight="false" outlineLevel="0" collapsed="false">
      <c r="B21" s="13" t="s">
        <v>187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customFormat="false" ht="15" hidden="false" customHeight="false" outlineLevel="0" collapsed="false">
      <c r="B22" s="16" t="s">
        <v>172</v>
      </c>
      <c r="C22" s="17"/>
      <c r="D22" s="18" t="s">
        <v>13</v>
      </c>
      <c r="E22" s="18" t="s">
        <v>14</v>
      </c>
      <c r="F22" s="18" t="s">
        <v>15</v>
      </c>
      <c r="G22" s="18" t="s">
        <v>16</v>
      </c>
      <c r="H22" s="18" t="s">
        <v>17</v>
      </c>
      <c r="I22" s="18" t="s">
        <v>18</v>
      </c>
      <c r="J22" s="18" t="s">
        <v>19</v>
      </c>
      <c r="K22" s="18" t="s">
        <v>20</v>
      </c>
      <c r="L22" s="18" t="s">
        <v>21</v>
      </c>
      <c r="M22" s="18" t="s">
        <v>22</v>
      </c>
    </row>
    <row r="23" customFormat="false" ht="15" hidden="false" customHeight="false" outlineLevel="0" collapsed="false">
      <c r="B23" s="19" t="s">
        <v>188</v>
      </c>
      <c r="D23" s="39" t="n">
        <f aca="false">MAX(0,D16)</f>
        <v>0</v>
      </c>
      <c r="E23" s="39" t="n">
        <f aca="false">MAX(0,E16)</f>
        <v>0</v>
      </c>
      <c r="F23" s="39" t="n">
        <f aca="false">MAX(0,F16)</f>
        <v>5.16482000000008</v>
      </c>
      <c r="G23" s="39" t="n">
        <f aca="false">MAX(0,G16)</f>
        <v>161.876492</v>
      </c>
      <c r="H23" s="39" t="n">
        <f aca="false">MAX(0,H16)</f>
        <v>225.00935</v>
      </c>
      <c r="I23" s="39" t="n">
        <f aca="false">MAX(0,I16)</f>
        <v>259.52507</v>
      </c>
      <c r="J23" s="39" t="n">
        <f aca="false">MAX(0,J16)</f>
        <v>255.146210000001</v>
      </c>
      <c r="K23" s="39" t="n">
        <f aca="false">MAX(0,K16)</f>
        <v>250.76735</v>
      </c>
      <c r="L23" s="39" t="n">
        <f aca="false">MAX(0,L16)</f>
        <v>246.38849</v>
      </c>
      <c r="M23" s="39" t="n">
        <f aca="false">MAX(0,M16)</f>
        <v>242.00963</v>
      </c>
    </row>
    <row r="24" customFormat="false" ht="15" hidden="false" customHeight="false" outlineLevel="0" collapsed="false">
      <c r="B24" s="22" t="s">
        <v>189</v>
      </c>
      <c r="D24" s="39" t="n">
        <f aca="false">Assumptions!$C$89</f>
        <v>0</v>
      </c>
      <c r="E24" s="39" t="n">
        <f aca="false">D27</f>
        <v>13.34</v>
      </c>
      <c r="F24" s="39" t="n">
        <f aca="false">E27</f>
        <v>60.03</v>
      </c>
      <c r="G24" s="39" t="n">
        <f aca="false">F27</f>
        <v>55.8981439999999</v>
      </c>
      <c r="H24" s="39" t="n">
        <f aca="false">G27</f>
        <v>0</v>
      </c>
      <c r="I24" s="39" t="n">
        <f aca="false">H27</f>
        <v>0</v>
      </c>
      <c r="J24" s="39" t="n">
        <f aca="false">I27</f>
        <v>0</v>
      </c>
      <c r="K24" s="39" t="n">
        <f aca="false">J27</f>
        <v>0</v>
      </c>
      <c r="L24" s="39" t="n">
        <f aca="false">K27</f>
        <v>0</v>
      </c>
      <c r="M24" s="39" t="n">
        <f aca="false">L27</f>
        <v>0</v>
      </c>
    </row>
    <row r="25" customFormat="false" ht="15" hidden="false" customHeight="false" outlineLevel="0" collapsed="false">
      <c r="B25" s="22" t="s">
        <v>190</v>
      </c>
      <c r="D25" s="39" t="n">
        <f aca="false">MIN(D24,D23*Assumptions!$C$90)</f>
        <v>0</v>
      </c>
      <c r="E25" s="39" t="n">
        <f aca="false">MIN(E24,E23*Assumptions!$C$90)</f>
        <v>0</v>
      </c>
      <c r="F25" s="39" t="n">
        <f aca="false">MIN(F24,F23*Assumptions!$C$90)</f>
        <v>4.13185600000006</v>
      </c>
      <c r="G25" s="39" t="n">
        <f aca="false">MIN(G24,G23*Assumptions!$C$90)</f>
        <v>55.8981439999999</v>
      </c>
      <c r="H25" s="39" t="n">
        <f aca="false">MIN(H24,H23*Assumptions!$C$90)</f>
        <v>0</v>
      </c>
      <c r="I25" s="39" t="n">
        <f aca="false">MIN(I24,I23*Assumptions!$C$90)</f>
        <v>0</v>
      </c>
      <c r="J25" s="39" t="n">
        <f aca="false">MIN(J24,J23*Assumptions!$C$90)</f>
        <v>0</v>
      </c>
      <c r="K25" s="39" t="n">
        <f aca="false">MIN(K24,K23*Assumptions!$C$90)</f>
        <v>0</v>
      </c>
      <c r="L25" s="39" t="n">
        <f aca="false">MIN(L24,L23*Assumptions!$C$90)</f>
        <v>0</v>
      </c>
      <c r="M25" s="39" t="n">
        <f aca="false">MIN(M24,M23*Assumptions!$C$90)</f>
        <v>0</v>
      </c>
    </row>
    <row r="26" customFormat="false" ht="15" hidden="false" customHeight="false" outlineLevel="0" collapsed="false">
      <c r="B26" s="22" t="s">
        <v>191</v>
      </c>
      <c r="D26" s="39" t="n">
        <f aca="false">MAX(0,-D16)</f>
        <v>13.34</v>
      </c>
      <c r="E26" s="39" t="n">
        <f aca="false">MAX(0,-E16)</f>
        <v>46.69</v>
      </c>
      <c r="F26" s="39" t="n">
        <f aca="false">MAX(0,-F16)</f>
        <v>0</v>
      </c>
      <c r="G26" s="39" t="n">
        <f aca="false">MAX(0,-G16)</f>
        <v>0</v>
      </c>
      <c r="H26" s="39" t="n">
        <f aca="false">MAX(0,-H16)</f>
        <v>0</v>
      </c>
      <c r="I26" s="39" t="n">
        <f aca="false">MAX(0,-I16)</f>
        <v>0</v>
      </c>
      <c r="J26" s="39" t="n">
        <f aca="false">MAX(0,-J16)</f>
        <v>0</v>
      </c>
      <c r="K26" s="39" t="n">
        <f aca="false">MAX(0,-K16)</f>
        <v>0</v>
      </c>
      <c r="L26" s="39" t="n">
        <f aca="false">MAX(0,-L16)</f>
        <v>0</v>
      </c>
      <c r="M26" s="39" t="n">
        <f aca="false">MAX(0,-M16)</f>
        <v>0</v>
      </c>
    </row>
    <row r="27" customFormat="false" ht="15" hidden="false" customHeight="false" outlineLevel="0" collapsed="false">
      <c r="B27" s="22" t="s">
        <v>192</v>
      </c>
      <c r="D27" s="39" t="n">
        <f aca="false">D24-D25+D26</f>
        <v>13.34</v>
      </c>
      <c r="E27" s="39" t="n">
        <f aca="false">E24-E25+E26</f>
        <v>60.03</v>
      </c>
      <c r="F27" s="39" t="n">
        <f aca="false">F24-F25+F26</f>
        <v>55.8981439999999</v>
      </c>
      <c r="G27" s="39" t="n">
        <f aca="false">G24-G25+G26</f>
        <v>0</v>
      </c>
      <c r="H27" s="39" t="n">
        <f aca="false">H24-H25+H26</f>
        <v>0</v>
      </c>
      <c r="I27" s="39" t="n">
        <f aca="false">I24-I25+I26</f>
        <v>0</v>
      </c>
      <c r="J27" s="39" t="n">
        <f aca="false">J24-J25+J26</f>
        <v>0</v>
      </c>
      <c r="K27" s="39" t="n">
        <f aca="false">K24-K25+K26</f>
        <v>0</v>
      </c>
      <c r="L27" s="39" t="n">
        <f aca="false">L24-L25+L26</f>
        <v>0</v>
      </c>
      <c r="M27" s="39" t="n">
        <f aca="false">M24-M25+M26</f>
        <v>0</v>
      </c>
    </row>
    <row r="28" customFormat="false" ht="15" hidden="false" customHeight="false" outlineLevel="0" collapsed="false">
      <c r="B28" s="19" t="s">
        <v>193</v>
      </c>
      <c r="D28" s="39" t="n">
        <f aca="false">D23-D25</f>
        <v>0</v>
      </c>
      <c r="E28" s="39" t="n">
        <f aca="false">E23-E25</f>
        <v>0</v>
      </c>
      <c r="F28" s="39" t="n">
        <f aca="false">F23-F25</f>
        <v>1.03296400000001</v>
      </c>
      <c r="G28" s="39" t="n">
        <f aca="false">G23-G25</f>
        <v>105.978348</v>
      </c>
      <c r="H28" s="39" t="n">
        <f aca="false">H23-H25</f>
        <v>225.00935</v>
      </c>
      <c r="I28" s="39" t="n">
        <f aca="false">I23-I25</f>
        <v>259.52507</v>
      </c>
      <c r="J28" s="39" t="n">
        <f aca="false">J23-J25</f>
        <v>255.146210000001</v>
      </c>
      <c r="K28" s="39" t="n">
        <f aca="false">K23-K25</f>
        <v>250.76735</v>
      </c>
      <c r="L28" s="39" t="n">
        <f aca="false">L23-L25</f>
        <v>246.38849</v>
      </c>
      <c r="M28" s="39" t="n">
        <f aca="false">M23-M25</f>
        <v>242.00963</v>
      </c>
    </row>
    <row r="29" customFormat="false" ht="15" hidden="false" customHeight="false" outlineLevel="0" collapsed="false">
      <c r="B29" s="19" t="s">
        <v>194</v>
      </c>
      <c r="D29" s="39" t="n">
        <f aca="false">-D28*Assumptions!$C$87</f>
        <v>-0</v>
      </c>
      <c r="E29" s="39" t="n">
        <f aca="false">-E28*Assumptions!$C$87</f>
        <v>-0</v>
      </c>
      <c r="F29" s="39" t="n">
        <f aca="false">-F28*Assumptions!$C$87</f>
        <v>-0.237581720000003</v>
      </c>
      <c r="G29" s="39" t="n">
        <f aca="false">-G28*Assumptions!$C$87</f>
        <v>-24.37502004</v>
      </c>
      <c r="H29" s="39" t="n">
        <f aca="false">-H28*Assumptions!$C$87</f>
        <v>-51.7521505</v>
      </c>
      <c r="I29" s="39" t="n">
        <f aca="false">-I28*Assumptions!$C$87</f>
        <v>-59.6907660999999</v>
      </c>
      <c r="J29" s="39" t="n">
        <f aca="false">-J28*Assumptions!$C$87</f>
        <v>-58.6836283000001</v>
      </c>
      <c r="K29" s="39" t="n">
        <f aca="false">-K28*Assumptions!$C$87</f>
        <v>-57.6764904999999</v>
      </c>
      <c r="L29" s="39" t="n">
        <f aca="false">-L28*Assumptions!$C$87</f>
        <v>-56.6693527000001</v>
      </c>
      <c r="M29" s="39" t="n">
        <f aca="false">-M28*Assumptions!$C$87</f>
        <v>-55.6622149</v>
      </c>
    </row>
    <row r="30" customFormat="false" ht="15" hidden="false" customHeight="false" outlineLevel="0" collapsed="false">
      <c r="B30" s="56" t="s">
        <v>195</v>
      </c>
      <c r="D30" s="57" t="n">
        <f aca="false">D19+D29</f>
        <v>-13.34</v>
      </c>
      <c r="E30" s="57" t="n">
        <f aca="false">E19+E29</f>
        <v>-46.69</v>
      </c>
      <c r="F30" s="57" t="n">
        <f aca="false">F19+F29</f>
        <v>245.49723828</v>
      </c>
      <c r="G30" s="57" t="n">
        <f aca="false">G19+G29</f>
        <v>912.67147196</v>
      </c>
      <c r="H30" s="57" t="n">
        <f aca="false">H19+H29</f>
        <v>925.0384495</v>
      </c>
      <c r="I30" s="57" t="n">
        <f aca="false">I19+I29</f>
        <v>767.8468039</v>
      </c>
      <c r="J30" s="57" t="n">
        <f aca="false">J19+J29</f>
        <v>480.4688317</v>
      </c>
      <c r="K30" s="57" t="n">
        <f aca="false">K19+K29</f>
        <v>193.0908595</v>
      </c>
      <c r="L30" s="57" t="n">
        <f aca="false">L19+L29</f>
        <v>189.7191373</v>
      </c>
      <c r="M30" s="57" t="n">
        <f aca="false">M19+M29</f>
        <v>186.3474151</v>
      </c>
    </row>
    <row r="31" customFormat="false" ht="15" hidden="false" customHeight="false" outlineLevel="0" collapsed="false">
      <c r="B31" s="22" t="s">
        <v>196</v>
      </c>
      <c r="D31" s="39" t="n">
        <f aca="false">-D15</f>
        <v>13.34</v>
      </c>
      <c r="E31" s="39" t="n">
        <f aca="false">-E15</f>
        <v>46.69</v>
      </c>
      <c r="F31" s="39" t="n">
        <f aca="false">-F15</f>
        <v>66.7</v>
      </c>
      <c r="G31" s="39" t="n">
        <f aca="false">-G15</f>
        <v>66.7</v>
      </c>
      <c r="H31" s="39" t="n">
        <f aca="false">-H15</f>
        <v>66.7</v>
      </c>
      <c r="I31" s="39" t="n">
        <f aca="false">-I15</f>
        <v>66.7</v>
      </c>
      <c r="J31" s="39" t="n">
        <f aca="false">-J15</f>
        <v>66.7</v>
      </c>
      <c r="K31" s="39" t="n">
        <f aca="false">-K15</f>
        <v>66.7</v>
      </c>
      <c r="L31" s="39" t="n">
        <f aca="false">-L15</f>
        <v>66.7</v>
      </c>
      <c r="M31" s="39" t="n">
        <f aca="false">-M15</f>
        <v>66.7</v>
      </c>
    </row>
    <row r="32" customFormat="false" ht="15" hidden="false" customHeight="false" outlineLevel="0" collapsed="false">
      <c r="B32" s="22" t="s">
        <v>197</v>
      </c>
      <c r="D32" s="39" t="n">
        <f aca="false">-D8*Assumptions!$C$83</f>
        <v>-0</v>
      </c>
      <c r="E32" s="39" t="n">
        <f aca="false">-E8*Assumptions!$C$83</f>
        <v>-0</v>
      </c>
      <c r="F32" s="39" t="n">
        <f aca="false">-F8*Assumptions!$C$83</f>
        <v>-23.95494</v>
      </c>
      <c r="G32" s="39" t="n">
        <f aca="false">-G8*Assumptions!$C$83</f>
        <v>-76.192164</v>
      </c>
      <c r="H32" s="39" t="n">
        <f aca="false">-H8*Assumptions!$C$83</f>
        <v>-97.23645</v>
      </c>
      <c r="I32" s="39" t="n">
        <f aca="false">-I8*Assumptions!$C$83</f>
        <v>-108.74169</v>
      </c>
      <c r="J32" s="39" t="n">
        <f aca="false">-J8*Assumptions!$C$83</f>
        <v>-107.28207</v>
      </c>
      <c r="K32" s="39" t="n">
        <f aca="false">-K8*Assumptions!$C$83</f>
        <v>-105.82245</v>
      </c>
      <c r="L32" s="39" t="n">
        <f aca="false">-L8*Assumptions!$C$83</f>
        <v>-104.36283</v>
      </c>
      <c r="M32" s="39" t="n">
        <f aca="false">-M8*Assumptions!$C$83</f>
        <v>-102.90321</v>
      </c>
    </row>
    <row r="33" customFormat="false" ht="15" hidden="false" customHeight="false" outlineLevel="0" collapsed="false">
      <c r="B33" s="22" t="s">
        <v>198</v>
      </c>
      <c r="D33" s="39" t="n">
        <f aca="false">-Assumptions!D78</f>
        <v>-200</v>
      </c>
      <c r="E33" s="39" t="n">
        <f aca="false">-Assumptions!E78</f>
        <v>-500</v>
      </c>
      <c r="F33" s="39" t="n">
        <f aca="false">-Assumptions!F78</f>
        <v>-300</v>
      </c>
      <c r="G33" s="39" t="n">
        <f aca="false">-Assumptions!G78</f>
        <v>-0</v>
      </c>
      <c r="H33" s="39" t="n">
        <f aca="false">-Assumptions!H78</f>
        <v>-0</v>
      </c>
      <c r="I33" s="39" t="n">
        <f aca="false">-Assumptions!I78</f>
        <v>-0</v>
      </c>
      <c r="J33" s="39" t="n">
        <f aca="false">-Assumptions!J78</f>
        <v>-0</v>
      </c>
      <c r="K33" s="39" t="n">
        <f aca="false">-Assumptions!K78</f>
        <v>-0</v>
      </c>
      <c r="L33" s="39" t="n">
        <f aca="false">-Assumptions!L78</f>
        <v>-0</v>
      </c>
      <c r="M33" s="39" t="n">
        <f aca="false">-Assumptions!M78</f>
        <v>-0</v>
      </c>
    </row>
    <row r="34" customFormat="false" ht="15" hidden="false" customHeight="false" outlineLevel="0" collapsed="false">
      <c r="B34" s="22" t="s">
        <v>199</v>
      </c>
      <c r="D34" s="39" t="n">
        <f aca="false">Assumptions!D78*Assumptions!$C$84</f>
        <v>20</v>
      </c>
      <c r="E34" s="39" t="n">
        <f aca="false">Assumptions!E78*Assumptions!$C$84</f>
        <v>50</v>
      </c>
      <c r="F34" s="39" t="n">
        <f aca="false">Assumptions!F78*Assumptions!$C$84</f>
        <v>30</v>
      </c>
      <c r="G34" s="39" t="n">
        <f aca="false">Assumptions!G78*Assumptions!$C$84</f>
        <v>0</v>
      </c>
      <c r="H34" s="39" t="n">
        <f aca="false">Assumptions!H78*Assumptions!$C$84</f>
        <v>0</v>
      </c>
      <c r="I34" s="39" t="n">
        <f aca="false">Assumptions!I78*Assumptions!$C$84</f>
        <v>0</v>
      </c>
      <c r="J34" s="39" t="n">
        <f aca="false">Assumptions!J78*Assumptions!$C$84</f>
        <v>0</v>
      </c>
      <c r="K34" s="39" t="n">
        <f aca="false">Assumptions!K78*Assumptions!$C$84</f>
        <v>0</v>
      </c>
      <c r="L34" s="39" t="n">
        <f aca="false">Assumptions!L78*Assumptions!$C$84</f>
        <v>0</v>
      </c>
      <c r="M34" s="39" t="n">
        <f aca="false">Assumptions!M78*Assumptions!$C$84</f>
        <v>0</v>
      </c>
    </row>
    <row r="35" customFormat="false" ht="15" hidden="false" customHeight="false" outlineLevel="0" collapsed="false">
      <c r="B35" s="22" t="s">
        <v>200</v>
      </c>
      <c r="D35" s="39" t="n">
        <f aca="false">D8*Assumptions!$C$86</f>
        <v>0</v>
      </c>
      <c r="E35" s="39" t="n">
        <f aca="false">E8*Assumptions!$C$86</f>
        <v>0</v>
      </c>
      <c r="F35" s="39" t="n">
        <f aca="false">F8*Assumptions!$C$86</f>
        <v>119.7747</v>
      </c>
      <c r="G35" s="39" t="n">
        <f aca="false">G8*Assumptions!$C$86</f>
        <v>380.96082</v>
      </c>
      <c r="H35" s="39" t="n">
        <f aca="false">H8*Assumptions!$C$86</f>
        <v>486.18225</v>
      </c>
      <c r="I35" s="39" t="n">
        <f aca="false">I8*Assumptions!$C$86</f>
        <v>543.70845</v>
      </c>
      <c r="J35" s="39" t="n">
        <f aca="false">J8*Assumptions!$C$86</f>
        <v>536.41035</v>
      </c>
      <c r="K35" s="39" t="n">
        <f aca="false">K8*Assumptions!$C$86</f>
        <v>529.11225</v>
      </c>
      <c r="L35" s="39" t="n">
        <f aca="false">L8*Assumptions!$C$86</f>
        <v>521.81415</v>
      </c>
      <c r="M35" s="39" t="n">
        <f aca="false">M8*Assumptions!$C$86</f>
        <v>514.51605</v>
      </c>
    </row>
    <row r="36" customFormat="false" ht="15" hidden="false" customHeight="false" outlineLevel="0" collapsed="false">
      <c r="B36" s="22" t="s">
        <v>201</v>
      </c>
      <c r="D36" s="39" t="n">
        <f aca="false">-D35</f>
        <v>-0</v>
      </c>
      <c r="E36" s="39" t="n">
        <f aca="false">-(E35-D35)</f>
        <v>-0</v>
      </c>
      <c r="F36" s="39" t="n">
        <f aca="false">-(F35-E35)</f>
        <v>-119.7747</v>
      </c>
      <c r="G36" s="39" t="n">
        <f aca="false">-(G35-F35)</f>
        <v>-261.18612</v>
      </c>
      <c r="H36" s="39" t="n">
        <f aca="false">-(H35-G35)</f>
        <v>-105.22143</v>
      </c>
      <c r="I36" s="39" t="n">
        <f aca="false">-(I35-H35)</f>
        <v>-57.5261999999999</v>
      </c>
      <c r="J36" s="39" t="n">
        <f aca="false">-(J35-I35)</f>
        <v>7.29809999999986</v>
      </c>
      <c r="K36" s="39" t="n">
        <f aca="false">-(K35-J35)</f>
        <v>7.29810000000009</v>
      </c>
      <c r="L36" s="39" t="n">
        <f aca="false">-(L35-K35)</f>
        <v>7.29809999999998</v>
      </c>
      <c r="M36" s="39" t="n">
        <f aca="false">-(M35-L35)</f>
        <v>7.29809999999998</v>
      </c>
    </row>
    <row r="37" customFormat="false" ht="15" hidden="false" customHeight="false" outlineLevel="0" collapsed="false">
      <c r="B37" s="59" t="s">
        <v>202</v>
      </c>
      <c r="D37" s="60" t="n">
        <f aca="false">D30+D31+D32+D33+D34+D36</f>
        <v>-180</v>
      </c>
      <c r="E37" s="60" t="n">
        <f aca="false">E30+E31+E32+E33+E34+E36</f>
        <v>-450</v>
      </c>
      <c r="F37" s="60" t="n">
        <f aca="false">F30+F31+F32+F33+F34+F36</f>
        <v>-101.53240172</v>
      </c>
      <c r="G37" s="60" t="n">
        <f aca="false">G30+G31+G32+G33+G34+G36</f>
        <v>641.99318796</v>
      </c>
      <c r="H37" s="60" t="n">
        <f aca="false">H30+H31+H32+H33+H34+H36</f>
        <v>789.2805695</v>
      </c>
      <c r="I37" s="60" t="n">
        <f aca="false">I30+I31+I32+I33+I34+I36</f>
        <v>668.2789139</v>
      </c>
      <c r="J37" s="60" t="n">
        <f aca="false">J30+J31+J32+J33+J34+J36</f>
        <v>447.1848617</v>
      </c>
      <c r="K37" s="60" t="n">
        <f aca="false">K30+K31+K32+K33+K34+K36</f>
        <v>161.2665095</v>
      </c>
      <c r="L37" s="60" t="n">
        <f aca="false">L30+L31+L32+L33+L34+L36</f>
        <v>159.3544073</v>
      </c>
      <c r="M37" s="60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210</v>
      </c>
    </row>
    <row r="2" customFormat="false" ht="15" hidden="false" customHeight="false" outlineLevel="0" collapsed="false">
      <c r="B2" s="54" t="s">
        <v>211</v>
      </c>
    </row>
    <row r="4" customFormat="false" ht="15" hidden="false" customHeight="false" outlineLevel="0" collapsed="false">
      <c r="B4" s="44" t="s">
        <v>212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62" t="s">
        <v>213</v>
      </c>
      <c r="D6" s="63" t="n">
        <f aca="false">SKBA!D8</f>
        <v>0</v>
      </c>
      <c r="E6" s="63" t="n">
        <f aca="false">SKBA!E8</f>
        <v>468.875</v>
      </c>
      <c r="F6" s="63" t="n">
        <f aca="false">SKBA!F8</f>
        <v>1082.675</v>
      </c>
      <c r="G6" s="63" t="n">
        <f aca="false">SKBA!G8</f>
        <v>1295.91</v>
      </c>
      <c r="H6" s="63" t="n">
        <f aca="false">SKBA!H8</f>
        <v>1395.24</v>
      </c>
      <c r="I6" s="63" t="n">
        <f aca="false">SKBA!I8</f>
        <v>1393.15</v>
      </c>
      <c r="J6" s="63" t="n">
        <f aca="false">SKBA!J8</f>
        <v>1374.45</v>
      </c>
      <c r="K6" s="63" t="n">
        <f aca="false">SKBA!K8</f>
        <v>1355.75</v>
      </c>
      <c r="L6" s="63" t="n">
        <f aca="false">SKBA!L8</f>
        <v>1337.05</v>
      </c>
      <c r="M6" s="63" t="n">
        <f aca="false">SKBA!M8</f>
        <v>1318.35</v>
      </c>
    </row>
    <row r="7" customFormat="false" ht="15" hidden="false" customHeight="false" outlineLevel="0" collapsed="false">
      <c r="B7" s="64" t="s">
        <v>214</v>
      </c>
      <c r="D7" s="65" t="n">
        <f aca="false">SKOT!D8</f>
        <v>0</v>
      </c>
      <c r="E7" s="65" t="n">
        <f aca="false">SKOT!E8</f>
        <v>0</v>
      </c>
      <c r="F7" s="65" t="n">
        <f aca="false">SKOT!F8</f>
        <v>798.498</v>
      </c>
      <c r="G7" s="65" t="n">
        <f aca="false">SKOT!G8</f>
        <v>2539.7388</v>
      </c>
      <c r="H7" s="65" t="n">
        <f aca="false">SKOT!H8</f>
        <v>3241.215</v>
      </c>
      <c r="I7" s="65" t="n">
        <f aca="false">SKOT!I8</f>
        <v>3624.723</v>
      </c>
      <c r="J7" s="65" t="n">
        <f aca="false">SKOT!J8</f>
        <v>3576.069</v>
      </c>
      <c r="K7" s="65" t="n">
        <f aca="false">SKOT!K8</f>
        <v>3527.415</v>
      </c>
      <c r="L7" s="65" t="n">
        <f aca="false">SKOT!L8</f>
        <v>3478.761</v>
      </c>
      <c r="M7" s="65" t="n">
        <f aca="false">SKOT!M8</f>
        <v>3430.107</v>
      </c>
    </row>
    <row r="8" customFormat="false" ht="15" hidden="false" customHeight="false" outlineLevel="0" collapsed="false">
      <c r="B8" s="56" t="s">
        <v>215</v>
      </c>
      <c r="D8" s="57" t="n">
        <f aca="false">D6+D7</f>
        <v>0</v>
      </c>
      <c r="E8" s="57" t="n">
        <f aca="false">E6+E7</f>
        <v>468.875</v>
      </c>
      <c r="F8" s="57" t="n">
        <f aca="false">F6+F7</f>
        <v>1881.173</v>
      </c>
      <c r="G8" s="57" t="n">
        <f aca="false">G6+G7</f>
        <v>3835.6488</v>
      </c>
      <c r="H8" s="57" t="n">
        <f aca="false">H6+H7</f>
        <v>4636.455</v>
      </c>
      <c r="I8" s="57" t="n">
        <f aca="false">I6+I7</f>
        <v>5017.873</v>
      </c>
      <c r="J8" s="57" t="n">
        <f aca="false">J6+J7</f>
        <v>4950.519</v>
      </c>
      <c r="K8" s="57" t="n">
        <f aca="false">K6+K7</f>
        <v>4883.165</v>
      </c>
      <c r="L8" s="57" t="n">
        <f aca="false">L6+L7</f>
        <v>4815.811</v>
      </c>
      <c r="M8" s="57" t="n">
        <f aca="false">M6+M7</f>
        <v>4748.457</v>
      </c>
    </row>
    <row r="9" customFormat="false" ht="15" hidden="false" customHeight="false" outlineLevel="0" collapsed="false">
      <c r="B9" s="22" t="s">
        <v>216</v>
      </c>
      <c r="D9" s="55" t="n">
        <f aca="false">SKBA!D6+Assumptions!D69+Assumptions!D70</f>
        <v>0</v>
      </c>
      <c r="E9" s="55" t="n">
        <f aca="false">SKBA!E6+Assumptions!E69+Assumptions!E70</f>
        <v>3.025</v>
      </c>
      <c r="F9" s="55" t="n">
        <f aca="false">SKBA!F6+Assumptions!F69+Assumptions!F70</f>
        <v>12.331</v>
      </c>
      <c r="G9" s="55" t="n">
        <f aca="false">SKBA!G6+Assumptions!G69+Assumptions!G70</f>
        <v>25.696</v>
      </c>
      <c r="H9" s="55" t="n">
        <f aca="false">SKBA!H6+Assumptions!H69+Assumptions!H70</f>
        <v>31.515</v>
      </c>
      <c r="I9" s="55" t="n">
        <f aca="false">SKBA!I6+Assumptions!I69+Assumptions!I70</f>
        <v>34.595</v>
      </c>
      <c r="J9" s="55" t="n">
        <f aca="false">SKBA!J6+Assumptions!J69+Assumptions!J70</f>
        <v>34.595</v>
      </c>
      <c r="K9" s="55" t="n">
        <f aca="false">SKBA!K6+Assumptions!K69+Assumptions!K70</f>
        <v>34.595</v>
      </c>
      <c r="L9" s="55" t="n">
        <f aca="false">SKBA!L6+Assumptions!L69+Assumptions!L70</f>
        <v>34.595</v>
      </c>
      <c r="M9" s="55" t="n">
        <f aca="false">SKBA!M6+Assumptions!M69+Assumptions!M70</f>
        <v>34.595</v>
      </c>
    </row>
    <row r="11" customFormat="false" ht="15" hidden="false" customHeight="false" outlineLevel="0" collapsed="false">
      <c r="B11" s="44" t="s">
        <v>217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</row>
    <row r="12" customFormat="false" ht="15" hidden="false" customHeight="false" outlineLevel="0" collapsed="false">
      <c r="B12" s="16" t="s">
        <v>172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22" t="s">
        <v>218</v>
      </c>
      <c r="D13" s="39" t="n">
        <f aca="false">SKBA!D17+SKOT!D16</f>
        <v>179.7232</v>
      </c>
      <c r="E13" s="39" t="n">
        <f aca="false">SKBA!E17+SKOT!E16</f>
        <v>140.1701</v>
      </c>
      <c r="F13" s="39" t="n">
        <f aca="false">SKBA!F17+SKOT!F16</f>
        <v>190.62422</v>
      </c>
      <c r="G13" s="39" t="n">
        <f aca="false">SKBA!G17+SKOT!G16</f>
        <v>264.809292</v>
      </c>
      <c r="H13" s="39" t="n">
        <f aca="false">SKBA!H17+SKOT!H16</f>
        <v>336.20645</v>
      </c>
      <c r="I13" s="39" t="n">
        <f aca="false">SKBA!I17+SKOT!I16</f>
        <v>370.36797</v>
      </c>
      <c r="J13" s="39" t="n">
        <f aca="false">SKBA!J17+SKOT!J16</f>
        <v>364.306110000001</v>
      </c>
      <c r="K13" s="39" t="n">
        <f aca="false">SKBA!K17+SKOT!K16</f>
        <v>358.24425</v>
      </c>
      <c r="L13" s="39" t="n">
        <f aca="false">SKBA!L17+SKOT!L16</f>
        <v>352.18239</v>
      </c>
      <c r="M13" s="39" t="n">
        <f aca="false">SKBA!M17+SKOT!M16</f>
        <v>346.12053</v>
      </c>
    </row>
    <row r="14" customFormat="false" ht="15" hidden="false" customHeight="false" outlineLevel="0" collapsed="false">
      <c r="B14" s="22" t="s">
        <v>184</v>
      </c>
      <c r="D14" s="58" t="n">
        <f aca="false">IF(D8=0,0,D13/D8)</f>
        <v>0</v>
      </c>
      <c r="E14" s="58" t="n">
        <f aca="false">IF(E8=0,0,E13/E8)</f>
        <v>0.298949826712877</v>
      </c>
      <c r="F14" s="58" t="n">
        <f aca="false">IF(F8=0,0,F13/F8)</f>
        <v>0.101332636604927</v>
      </c>
      <c r="G14" s="58" t="n">
        <f aca="false">IF(G8=0,0,G13/G8)</f>
        <v>0.0690389829225241</v>
      </c>
      <c r="H14" s="58" t="n">
        <f aca="false">IF(H8=0,0,H13/H8)</f>
        <v>0.0725136877204674</v>
      </c>
      <c r="I14" s="58" t="n">
        <f aca="false">IF(I8=0,0,I13/I8)</f>
        <v>0.0738097536545863</v>
      </c>
      <c r="J14" s="58" t="n">
        <f aca="false">IF(J8=0,0,J13/J8)</f>
        <v>0.0735894781941047</v>
      </c>
      <c r="K14" s="58" t="n">
        <f aca="false">IF(K8=0,0,K13/K8)</f>
        <v>0.0733631261691956</v>
      </c>
      <c r="L14" s="58" t="n">
        <f aca="false">IF(L8=0,0,L13/L8)</f>
        <v>0.0731304426191145</v>
      </c>
      <c r="M14" s="58" t="n">
        <f aca="false">IF(M8=0,0,M13/M8)</f>
        <v>0.0728911581172579</v>
      </c>
    </row>
    <row r="15" customFormat="false" ht="15" hidden="false" customHeight="false" outlineLevel="0" collapsed="false">
      <c r="B15" s="22" t="s">
        <v>185</v>
      </c>
      <c r="D15" s="39" t="n">
        <f aca="false">SKBA!D19+SKOT!D18</f>
        <v>0</v>
      </c>
      <c r="E15" s="39" t="n">
        <f aca="false">SKBA!E19+SKOT!E18</f>
        <v>136.125</v>
      </c>
      <c r="F15" s="39" t="n">
        <f aca="false">SKBA!F19+SKOT!F18</f>
        <v>554.895</v>
      </c>
      <c r="G15" s="39" t="n">
        <f aca="false">SKBA!G19+SKOT!G18</f>
        <v>1156.32</v>
      </c>
      <c r="H15" s="39" t="n">
        <f aca="false">SKBA!H19+SKOT!H18</f>
        <v>1063.63125</v>
      </c>
      <c r="I15" s="39" t="n">
        <f aca="false">SKBA!I19+SKOT!I18</f>
        <v>778.3875</v>
      </c>
      <c r="J15" s="39" t="n">
        <f aca="false">SKBA!J19+SKOT!J18</f>
        <v>389.19375</v>
      </c>
      <c r="K15" s="39" t="n">
        <f aca="false">SKBA!K19+SKOT!K18</f>
        <v>0</v>
      </c>
      <c r="L15" s="39" t="n">
        <f aca="false">SKBA!L19+SKOT!L18</f>
        <v>0</v>
      </c>
      <c r="M15" s="39" t="n">
        <f aca="false">SKBA!M19+SKOT!M18</f>
        <v>0</v>
      </c>
    </row>
    <row r="16" customFormat="false" ht="15" hidden="false" customHeight="false" outlineLevel="0" collapsed="false">
      <c r="B16" s="56" t="s">
        <v>219</v>
      </c>
      <c r="D16" s="57" t="n">
        <f aca="false">SKBA!D20+SKOT!D19</f>
        <v>179.7232</v>
      </c>
      <c r="E16" s="57" t="n">
        <f aca="false">SKBA!E20+SKOT!E19</f>
        <v>276.2951</v>
      </c>
      <c r="F16" s="57" t="n">
        <f aca="false">SKBA!F20+SKOT!F19</f>
        <v>745.51922</v>
      </c>
      <c r="G16" s="57" t="n">
        <f aca="false">SKBA!G20+SKOT!G19</f>
        <v>1421.129292</v>
      </c>
      <c r="H16" s="57" t="n">
        <f aca="false">SKBA!H20+SKOT!H19</f>
        <v>1399.8377</v>
      </c>
      <c r="I16" s="57" t="n">
        <f aca="false">SKBA!I20+SKOT!I19</f>
        <v>1148.75547</v>
      </c>
      <c r="J16" s="57" t="n">
        <f aca="false">SKBA!J20+SKOT!J19</f>
        <v>753.499860000001</v>
      </c>
      <c r="K16" s="57" t="n">
        <f aca="false">SKBA!K20+SKOT!K19</f>
        <v>358.24425</v>
      </c>
      <c r="L16" s="57" t="n">
        <f aca="false">SKBA!L20+SKOT!L19</f>
        <v>352.18239</v>
      </c>
      <c r="M16" s="57" t="n">
        <f aca="false">SKBA!M20+SKOT!M19</f>
        <v>346.12053</v>
      </c>
    </row>
    <row r="17" customFormat="false" ht="15" hidden="false" customHeight="false" outlineLevel="0" collapsed="false">
      <c r="B17" s="22" t="s">
        <v>220</v>
      </c>
      <c r="D17" s="58" t="n">
        <f aca="false">IF(D8=0,0,D16/D8)</f>
        <v>0</v>
      </c>
      <c r="E17" s="58" t="n">
        <f aca="false">IF(E8=0,0,E16/E8)</f>
        <v>0.589272407358038</v>
      </c>
      <c r="F17" s="58" t="n">
        <f aca="false">IF(F8=0,0,F16/F8)</f>
        <v>0.396305507255314</v>
      </c>
      <c r="G17" s="58" t="n">
        <f aca="false">IF(G8=0,0,G16/G8)</f>
        <v>0.370505582262902</v>
      </c>
      <c r="H17" s="58" t="n">
        <f aca="false">IF(H8=0,0,H16/H8)</f>
        <v>0.301919828834746</v>
      </c>
      <c r="I17" s="58" t="n">
        <f aca="false">IF(I8=0,0,I16/I8)</f>
        <v>0.228932750988317</v>
      </c>
      <c r="J17" s="58" t="n">
        <f aca="false">IF(J8=0,0,J16/J8)</f>
        <v>0.152206235346234</v>
      </c>
      <c r="K17" s="58" t="n">
        <f aca="false">IF(K8=0,0,K16/K8)</f>
        <v>0.0733631261691956</v>
      </c>
      <c r="L17" s="58" t="n">
        <f aca="false">IF(L8=0,0,L16/L8)</f>
        <v>0.0731304426191145</v>
      </c>
      <c r="M17" s="58" t="n">
        <f aca="false">IF(M8=0,0,M16/M8)</f>
        <v>0.0728911581172579</v>
      </c>
    </row>
    <row r="18" customFormat="false" ht="15" hidden="false" customHeight="false" outlineLevel="0" collapsed="false">
      <c r="B18" s="22" t="s">
        <v>196</v>
      </c>
      <c r="D18" s="39" t="n">
        <f aca="false">-(SKBA!D15+SKOT!D15)</f>
        <v>20.2768</v>
      </c>
      <c r="E18" s="39" t="n">
        <f aca="false">-(SKBA!E15+SKOT!E15)</f>
        <v>59.8299</v>
      </c>
      <c r="F18" s="39" t="n">
        <f aca="false">-(SKBA!F15+SKOT!F15)</f>
        <v>81.2406</v>
      </c>
      <c r="G18" s="39" t="n">
        <f aca="false">-(SKBA!G15+SKOT!G15)</f>
        <v>81.2406</v>
      </c>
      <c r="H18" s="39" t="n">
        <f aca="false">-(SKBA!H15+SKOT!H15)</f>
        <v>81.2406</v>
      </c>
      <c r="I18" s="39" t="n">
        <f aca="false">-(SKBA!I15+SKOT!I15)</f>
        <v>81.2406</v>
      </c>
      <c r="J18" s="39" t="n">
        <f aca="false">-(SKBA!J15+SKOT!J15)</f>
        <v>81.2406</v>
      </c>
      <c r="K18" s="39" t="n">
        <f aca="false">-(SKBA!K15+SKOT!K15)</f>
        <v>81.2406</v>
      </c>
      <c r="L18" s="39" t="n">
        <f aca="false">-(SKBA!L15+SKOT!L15)</f>
        <v>81.2406</v>
      </c>
      <c r="M18" s="39" t="n">
        <f aca="false">-(SKBA!M15+SKOT!M15)</f>
        <v>81.2406</v>
      </c>
    </row>
    <row r="19" customFormat="false" ht="15" hidden="false" customHeight="false" outlineLevel="0" collapsed="false">
      <c r="B19" s="56" t="s">
        <v>221</v>
      </c>
      <c r="D19" s="57" t="n">
        <f aca="false">D16+D18</f>
        <v>200</v>
      </c>
      <c r="E19" s="57" t="n">
        <f aca="false">E16+E18</f>
        <v>336.125</v>
      </c>
      <c r="F19" s="57" t="n">
        <f aca="false">F16+F18</f>
        <v>826.75982</v>
      </c>
      <c r="G19" s="57" t="n">
        <f aca="false">G16+G18</f>
        <v>1502.369892</v>
      </c>
      <c r="H19" s="57" t="n">
        <f aca="false">H16+H18</f>
        <v>1481.0783</v>
      </c>
      <c r="I19" s="57" t="n">
        <f aca="false">I16+I18</f>
        <v>1229.99607</v>
      </c>
      <c r="J19" s="57" t="n">
        <f aca="false">J16+J18</f>
        <v>834.740460000001</v>
      </c>
      <c r="K19" s="57" t="n">
        <f aca="false">K16+K18</f>
        <v>439.48485</v>
      </c>
      <c r="L19" s="57" t="n">
        <f aca="false">L16+L18</f>
        <v>433.42299</v>
      </c>
      <c r="M19" s="57" t="n">
        <f aca="false">M16+M18</f>
        <v>427.36113</v>
      </c>
    </row>
    <row r="20" customFormat="false" ht="15" hidden="false" customHeight="false" outlineLevel="0" collapsed="false">
      <c r="B20" s="22" t="s">
        <v>222</v>
      </c>
      <c r="D20" s="58" t="n">
        <f aca="false">IF(D8=0,0,D19/D8)</f>
        <v>0</v>
      </c>
      <c r="E20" s="58" t="n">
        <f aca="false">IF(E8=0,0,E19/E8)</f>
        <v>0.716875499866702</v>
      </c>
      <c r="F20" s="58" t="n">
        <f aca="false">IF(F8=0,0,F19/F8)</f>
        <v>0.439491646967079</v>
      </c>
      <c r="G20" s="58" t="n">
        <f aca="false">IF(G8=0,0,G19/G8)</f>
        <v>0.391685988560788</v>
      </c>
      <c r="H20" s="58" t="n">
        <f aca="false">IF(H8=0,0,H19/H8)</f>
        <v>0.319441965898515</v>
      </c>
      <c r="I20" s="58" t="n">
        <f aca="false">IF(I8=0,0,I19/I8)</f>
        <v>0.245122997333731</v>
      </c>
      <c r="J20" s="58" t="n">
        <f aca="false">IF(J8=0,0,J19/J8)</f>
        <v>0.168616757152129</v>
      </c>
      <c r="K20" s="58" t="n">
        <f aca="false">IF(K8=0,0,K19/K8)</f>
        <v>0.09</v>
      </c>
      <c r="L20" s="58" t="n">
        <f aca="false">IF(L8=0,0,L19/L8)</f>
        <v>0.0900000000000001</v>
      </c>
      <c r="M20" s="58" t="n">
        <f aca="false">IF(M8=0,0,M19/M8)</f>
        <v>0.0900000000000001</v>
      </c>
    </row>
    <row r="21" customFormat="false" ht="15" hidden="false" customHeight="false" outlineLevel="0" collapsed="false">
      <c r="B21" s="66" t="s">
        <v>223</v>
      </c>
      <c r="D21" s="40" t="n">
        <f aca="false">D19-D15</f>
        <v>200</v>
      </c>
      <c r="E21" s="40" t="n">
        <f aca="false">E19-E15</f>
        <v>200</v>
      </c>
      <c r="F21" s="40" t="n">
        <f aca="false">F19-F15</f>
        <v>271.86482</v>
      </c>
      <c r="G21" s="40" t="n">
        <f aca="false">G19-G15</f>
        <v>346.049892</v>
      </c>
      <c r="H21" s="40" t="n">
        <f aca="false">H19-H15</f>
        <v>417.44705</v>
      </c>
      <c r="I21" s="40" t="n">
        <f aca="false">I19-I15</f>
        <v>451.60857</v>
      </c>
      <c r="J21" s="40" t="n">
        <f aca="false">J19-J15</f>
        <v>445.546710000001</v>
      </c>
      <c r="K21" s="40" t="n">
        <f aca="false">K19-K15</f>
        <v>439.48485</v>
      </c>
      <c r="L21" s="40" t="n">
        <f aca="false">L19-L15</f>
        <v>433.42299</v>
      </c>
      <c r="M21" s="40" t="n">
        <f aca="false">M19-M15</f>
        <v>427.36113</v>
      </c>
    </row>
    <row r="22" customFormat="false" ht="15" hidden="false" customHeight="false" outlineLevel="0" collapsed="false">
      <c r="B22" s="22" t="s">
        <v>224</v>
      </c>
      <c r="D22" s="58" t="n">
        <f aca="false">IF(D8=0,0,D21/D8)</f>
        <v>0</v>
      </c>
      <c r="E22" s="58" t="n">
        <f aca="false">IF(E8=0,0,E21/E8)</f>
        <v>0.426552919221541</v>
      </c>
      <c r="F22" s="58" t="n">
        <f aca="false">IF(F8=0,0,F21/F8)</f>
        <v>0.144518776316692</v>
      </c>
      <c r="G22" s="58" t="n">
        <f aca="false">IF(G8=0,0,G21/G8)</f>
        <v>0.0902193892204104</v>
      </c>
      <c r="H22" s="58" t="n">
        <f aca="false">IF(H8=0,0,H21/H8)</f>
        <v>0.0900358247842371</v>
      </c>
      <c r="I22" s="58" t="n">
        <f aca="false">IF(I8=0,0,I21/I8)</f>
        <v>0.09</v>
      </c>
      <c r="J22" s="58" t="n">
        <f aca="false">IF(J8=0,0,J21/J8)</f>
        <v>0.0900000000000001</v>
      </c>
      <c r="K22" s="58" t="n">
        <f aca="false">IF(K8=0,0,K21/K8)</f>
        <v>0.09</v>
      </c>
      <c r="L22" s="58" t="n">
        <f aca="false">IF(L8=0,0,L21/L8)</f>
        <v>0.0900000000000001</v>
      </c>
      <c r="M22" s="58" t="n">
        <f aca="false">IF(M8=0,0,M21/M8)</f>
        <v>0.0900000000000001</v>
      </c>
    </row>
    <row r="24" customFormat="false" ht="15" hidden="false" customHeight="false" outlineLevel="0" collapsed="false">
      <c r="B24" s="44" t="s">
        <v>187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</row>
    <row r="25" customFormat="false" ht="15" hidden="false" customHeight="false" outlineLevel="0" collapsed="false">
      <c r="B25" s="16" t="s">
        <v>172</v>
      </c>
      <c r="C25" s="17"/>
      <c r="D25" s="18" t="s">
        <v>13</v>
      </c>
      <c r="E25" s="18" t="s">
        <v>14</v>
      </c>
      <c r="F25" s="18" t="s">
        <v>15</v>
      </c>
      <c r="G25" s="18" t="s">
        <v>16</v>
      </c>
      <c r="H25" s="18" t="s">
        <v>17</v>
      </c>
      <c r="I25" s="18" t="s">
        <v>18</v>
      </c>
      <c r="J25" s="18" t="s">
        <v>19</v>
      </c>
      <c r="K25" s="18" t="s">
        <v>20</v>
      </c>
      <c r="L25" s="18" t="s">
        <v>21</v>
      </c>
      <c r="M25" s="18" t="s">
        <v>22</v>
      </c>
    </row>
    <row r="26" customFormat="false" ht="15" hidden="false" customHeight="false" outlineLevel="0" collapsed="false">
      <c r="B26" s="22" t="s">
        <v>225</v>
      </c>
      <c r="D26" s="67" t="n">
        <f aca="false">SKBA!D38</f>
        <v>97.5190928</v>
      </c>
      <c r="E26" s="67" t="n">
        <f aca="false">SKBA!E38</f>
        <v>159.4319354</v>
      </c>
      <c r="F26" s="67" t="n">
        <f aca="false">SKBA!F38</f>
        <v>362.3436176</v>
      </c>
      <c r="G26" s="67" t="n">
        <f aca="false">SKBA!G38</f>
        <v>423.0259412</v>
      </c>
      <c r="H26" s="67" t="n">
        <f aca="false">SKBA!H38</f>
        <v>375.7159334</v>
      </c>
      <c r="I26" s="67" t="n">
        <f aca="false">SKBA!I38</f>
        <v>289.1787266</v>
      </c>
      <c r="J26" s="67" t="n">
        <f aca="false">SKBA!J38</f>
        <v>185.4381446</v>
      </c>
      <c r="K26" s="67" t="n">
        <f aca="false">SKBA!K38</f>
        <v>79.2060626000002</v>
      </c>
      <c r="L26" s="67" t="n">
        <f aca="false">SKBA!L38</f>
        <v>78.1614806000001</v>
      </c>
      <c r="M26" s="67" t="n">
        <f aca="false">SKBA!M38</f>
        <v>77.1168986000001</v>
      </c>
    </row>
    <row r="27" customFormat="false" ht="15" hidden="false" customHeight="false" outlineLevel="0" collapsed="false">
      <c r="B27" s="22" t="s">
        <v>226</v>
      </c>
      <c r="D27" s="67" t="n">
        <f aca="false">SKOT!D37</f>
        <v>-180</v>
      </c>
      <c r="E27" s="67" t="n">
        <f aca="false">SKOT!E37</f>
        <v>-450</v>
      </c>
      <c r="F27" s="67" t="n">
        <f aca="false">SKOT!F37</f>
        <v>-101.53240172</v>
      </c>
      <c r="G27" s="67" t="n">
        <f aca="false">SKOT!G37</f>
        <v>641.99318796</v>
      </c>
      <c r="H27" s="67" t="n">
        <f aca="false">SKOT!H37</f>
        <v>789.2805695</v>
      </c>
      <c r="I27" s="67" t="n">
        <f aca="false">SKOT!I37</f>
        <v>668.2789139</v>
      </c>
      <c r="J27" s="67" t="n">
        <f aca="false">SKOT!J37</f>
        <v>447.1848617</v>
      </c>
      <c r="K27" s="67" t="n">
        <f aca="false">SKOT!K37</f>
        <v>161.2665095</v>
      </c>
      <c r="L27" s="67" t="n">
        <f aca="false">SKOT!L37</f>
        <v>159.3544073</v>
      </c>
      <c r="M27" s="67" t="n">
        <f aca="false">SKOT!M37</f>
        <v>157.4423051</v>
      </c>
    </row>
    <row r="28" customFormat="false" ht="15" hidden="false" customHeight="false" outlineLevel="0" collapsed="false">
      <c r="B28" s="59" t="s">
        <v>227</v>
      </c>
      <c r="D28" s="60" t="n">
        <f aca="false">D26+D27</f>
        <v>-82.4809072</v>
      </c>
      <c r="E28" s="60" t="n">
        <f aca="false">E26+E27</f>
        <v>-290.5680646</v>
      </c>
      <c r="F28" s="60" t="n">
        <f aca="false">F26+F27</f>
        <v>260.81121588</v>
      </c>
      <c r="G28" s="60" t="n">
        <f aca="false">G26+G27</f>
        <v>1065.01912916</v>
      </c>
      <c r="H28" s="60" t="n">
        <f aca="false">H26+H27</f>
        <v>1164.9965029</v>
      </c>
      <c r="I28" s="60" t="n">
        <f aca="false">I26+I27</f>
        <v>957.4576405</v>
      </c>
      <c r="J28" s="60" t="n">
        <f aca="false">J26+J27</f>
        <v>632.6230063</v>
      </c>
      <c r="K28" s="60" t="n">
        <f aca="false">K26+K27</f>
        <v>240.4725721</v>
      </c>
      <c r="L28" s="60" t="n">
        <f aca="false">L26+L27</f>
        <v>237.5158879</v>
      </c>
      <c r="M28" s="60" t="n">
        <f aca="false">M26+M27</f>
        <v>234.5592037</v>
      </c>
    </row>
    <row r="30" customFormat="false" ht="15" hidden="false" customHeight="false" outlineLevel="0" collapsed="false">
      <c r="B30" s="5" t="s">
        <v>228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B31" s="16" t="s">
        <v>172</v>
      </c>
      <c r="C31" s="17"/>
      <c r="D31" s="18" t="s">
        <v>13</v>
      </c>
      <c r="E31" s="18" t="s">
        <v>14</v>
      </c>
      <c r="F31" s="18" t="s">
        <v>15</v>
      </c>
      <c r="G31" s="18" t="s">
        <v>16</v>
      </c>
      <c r="H31" s="18" t="s">
        <v>17</v>
      </c>
      <c r="I31" s="18" t="s">
        <v>18</v>
      </c>
      <c r="J31" s="18" t="s">
        <v>19</v>
      </c>
      <c r="K31" s="18" t="s">
        <v>20</v>
      </c>
      <c r="L31" s="18" t="s">
        <v>21</v>
      </c>
      <c r="M31" s="18" t="s">
        <v>22</v>
      </c>
    </row>
    <row r="32" customFormat="false" ht="15" hidden="false" customHeight="false" outlineLevel="0" collapsed="false">
      <c r="B32" s="22" t="s">
        <v>229</v>
      </c>
      <c r="D32" s="39" t="n">
        <f aca="false">-Assumptions!$C$103*Assumptions!$C$104</f>
        <v>-47.515</v>
      </c>
      <c r="E32" s="39" t="n">
        <f aca="false">-Assumptions!$C$103*Assumptions!$C$104</f>
        <v>-47.515</v>
      </c>
      <c r="F32" s="39" t="n">
        <f aca="false">-Assumptions!$C$103*Assumptions!$C$104</f>
        <v>-47.515</v>
      </c>
      <c r="G32" s="39" t="n">
        <f aca="false">-Assumptions!$C$103*Assumptions!$C$104</f>
        <v>-47.515</v>
      </c>
      <c r="H32" s="39" t="n">
        <f aca="false">-Assumptions!$C$103*Assumptions!$C$104</f>
        <v>-47.515</v>
      </c>
      <c r="I32" s="39" t="n">
        <f aca="false">-Assumptions!$C$103*Assumptions!$C$104</f>
        <v>-47.515</v>
      </c>
      <c r="J32" s="39" t="n">
        <f aca="false">-Assumptions!$C$103*Assumptions!$C$104</f>
        <v>-47.515</v>
      </c>
      <c r="K32" s="39" t="n">
        <f aca="false">-Assumptions!$C$103*Assumptions!$C$104</f>
        <v>-47.515</v>
      </c>
      <c r="L32" s="39" t="n">
        <f aca="false">-Assumptions!$C$103*Assumptions!$C$104</f>
        <v>-47.515</v>
      </c>
      <c r="M32" s="39" t="n">
        <f aca="false">-Assumptions!$C$103*Assumptions!$C$104</f>
        <v>-47.515</v>
      </c>
    </row>
    <row r="33" customFormat="false" ht="15" hidden="false" customHeight="false" outlineLevel="0" collapsed="false">
      <c r="B33" s="22" t="s">
        <v>230</v>
      </c>
      <c r="D33" s="39" t="n">
        <f aca="false">-D32*Assumptions!$C$87</f>
        <v>10.92845</v>
      </c>
      <c r="E33" s="39" t="n">
        <f aca="false">-E32*Assumptions!$C$87</f>
        <v>10.92845</v>
      </c>
      <c r="F33" s="39" t="n">
        <f aca="false">-F32*Assumptions!$C$87</f>
        <v>10.92845</v>
      </c>
      <c r="G33" s="39" t="n">
        <f aca="false">-G32*Assumptions!$C$87</f>
        <v>10.92845</v>
      </c>
      <c r="H33" s="39" t="n">
        <f aca="false">-H32*Assumptions!$C$87</f>
        <v>10.92845</v>
      </c>
      <c r="I33" s="39" t="n">
        <f aca="false">-I32*Assumptions!$C$87</f>
        <v>10.92845</v>
      </c>
      <c r="J33" s="39" t="n">
        <f aca="false">-J32*Assumptions!$C$87</f>
        <v>10.92845</v>
      </c>
      <c r="K33" s="39" t="n">
        <f aca="false">-K32*Assumptions!$C$87</f>
        <v>10.92845</v>
      </c>
      <c r="L33" s="39" t="n">
        <f aca="false">-L32*Assumptions!$C$87</f>
        <v>10.92845</v>
      </c>
      <c r="M33" s="39" t="n">
        <f aca="false">-M32*Assumptions!$C$87</f>
        <v>10.92845</v>
      </c>
    </row>
    <row r="34" customFormat="false" ht="15" hidden="false" customHeight="false" outlineLevel="0" collapsed="false">
      <c r="B34" s="22" t="s">
        <v>231</v>
      </c>
      <c r="D34" s="39" t="n">
        <f aca="false">-Assumptions!$C$105*Assumptions!$C$101</f>
        <v>-0</v>
      </c>
      <c r="E34" s="39" t="n">
        <f aca="false">-Assumptions!$C$105*Assumptions!$C$101</f>
        <v>-0</v>
      </c>
      <c r="F34" s="39" t="n">
        <f aca="false">-Assumptions!$C$105*Assumptions!$C$101</f>
        <v>-0</v>
      </c>
      <c r="G34" s="39" t="n">
        <f aca="false">-Assumptions!$C$105*Assumptions!$C$101</f>
        <v>-0</v>
      </c>
      <c r="H34" s="39" t="n">
        <f aca="false">-Assumptions!$C$105*Assumptions!$C$101</f>
        <v>-0</v>
      </c>
      <c r="I34" s="39" t="n">
        <f aca="false">-Assumptions!$C$105*Assumptions!$C$101</f>
        <v>-0</v>
      </c>
      <c r="J34" s="39" t="n">
        <f aca="false">-Assumptions!$C$105*Assumptions!$C$101</f>
        <v>-0</v>
      </c>
      <c r="K34" s="39" t="n">
        <f aca="false">-Assumptions!$C$105*Assumptions!$C$101</f>
        <v>-0</v>
      </c>
      <c r="L34" s="39" t="n">
        <f aca="false">-Assumptions!$C$105*Assumptions!$C$101</f>
        <v>-0</v>
      </c>
      <c r="M34" s="39" t="n">
        <f aca="false">-Assumptions!$C$105*Assumptions!$C$101</f>
        <v>-0</v>
      </c>
    </row>
    <row r="35" customFormat="false" ht="15" hidden="false" customHeight="false" outlineLevel="0" collapsed="false">
      <c r="B35" s="56" t="s">
        <v>232</v>
      </c>
      <c r="D35" s="57" t="n">
        <f aca="false">D26+D32+D33+D34</f>
        <v>60.9325428</v>
      </c>
      <c r="E35" s="57" t="n">
        <f aca="false">E26+E32+E33+E34</f>
        <v>122.8453854</v>
      </c>
      <c r="F35" s="57" t="n">
        <f aca="false">F26+F32+F33+F34</f>
        <v>325.7570676</v>
      </c>
      <c r="G35" s="57" t="n">
        <f aca="false">G26+G32+G33+G34</f>
        <v>386.4393912</v>
      </c>
      <c r="H35" s="57" t="n">
        <f aca="false">H26+H32+H33+H34</f>
        <v>339.1293834</v>
      </c>
      <c r="I35" s="57" t="n">
        <f aca="false">I26+I32+I33+I34</f>
        <v>252.5921766</v>
      </c>
      <c r="J35" s="57" t="n">
        <f aca="false">J26+J32+J33+J34</f>
        <v>148.8515946</v>
      </c>
      <c r="K35" s="57" t="n">
        <f aca="false">K26+K32+K33+K34</f>
        <v>42.6195126000002</v>
      </c>
      <c r="L35" s="57" t="n">
        <f aca="false">L26+L32+L33+L34</f>
        <v>41.5749306000001</v>
      </c>
      <c r="M35" s="57" t="n">
        <f aca="false">M26+M32+M33+M34</f>
        <v>40.5303486000001</v>
      </c>
    </row>
    <row r="36" customFormat="false" ht="15" hidden="false" customHeight="false" outlineLevel="0" collapsed="false">
      <c r="B36" s="22" t="s">
        <v>233</v>
      </c>
      <c r="D36" s="39" t="n">
        <f aca="false">-Assumptions!$C$107*Assumptions!$C$108</f>
        <v>-200</v>
      </c>
      <c r="E36" s="39" t="n">
        <f aca="false">-Assumptions!$C$107*Assumptions!$C$108</f>
        <v>-200</v>
      </c>
      <c r="F36" s="39" t="n">
        <f aca="false">-Assumptions!$C$107*Assumptions!$C$108</f>
        <v>-200</v>
      </c>
      <c r="G36" s="39" t="n">
        <f aca="false">-Assumptions!$C$107*Assumptions!$C$108</f>
        <v>-200</v>
      </c>
      <c r="H36" s="39" t="n">
        <f aca="false">-Assumptions!$C$107*Assumptions!$C$108</f>
        <v>-200</v>
      </c>
      <c r="I36" s="39" t="n">
        <f aca="false">-Assumptions!$C$107*Assumptions!$C$108</f>
        <v>-200</v>
      </c>
      <c r="J36" s="39" t="n">
        <f aca="false">-Assumptions!$C$107*Assumptions!$C$108</f>
        <v>-200</v>
      </c>
      <c r="K36" s="39" t="n">
        <f aca="false">-Assumptions!$C$107*Assumptions!$C$108</f>
        <v>-200</v>
      </c>
      <c r="L36" s="39" t="n">
        <f aca="false">-Assumptions!$C$107*Assumptions!$C$108</f>
        <v>-200</v>
      </c>
      <c r="M36" s="39" t="n">
        <f aca="false">-Assumptions!$C$107*Assumptions!$C$108</f>
        <v>-200</v>
      </c>
    </row>
    <row r="37" customFormat="false" ht="15" hidden="false" customHeight="false" outlineLevel="0" collapsed="false">
      <c r="B37" s="22" t="s">
        <v>234</v>
      </c>
      <c r="D37" s="39" t="n">
        <f aca="false">-D36*Assumptions!$C$87</f>
        <v>46</v>
      </c>
      <c r="E37" s="39" t="n">
        <f aca="false">-E36*Assumptions!$C$87</f>
        <v>46</v>
      </c>
      <c r="F37" s="39" t="n">
        <f aca="false">-F36*Assumptions!$C$87</f>
        <v>46</v>
      </c>
      <c r="G37" s="39" t="n">
        <f aca="false">-G36*Assumptions!$C$87</f>
        <v>46</v>
      </c>
      <c r="H37" s="39" t="n">
        <f aca="false">-H36*Assumptions!$C$87</f>
        <v>46</v>
      </c>
      <c r="I37" s="39" t="n">
        <f aca="false">-I36*Assumptions!$C$87</f>
        <v>46</v>
      </c>
      <c r="J37" s="39" t="n">
        <f aca="false">-J36*Assumptions!$C$87</f>
        <v>46</v>
      </c>
      <c r="K37" s="39" t="n">
        <f aca="false">-K36*Assumptions!$C$87</f>
        <v>46</v>
      </c>
      <c r="L37" s="39" t="n">
        <f aca="false">-L36*Assumptions!$C$87</f>
        <v>46</v>
      </c>
      <c r="M37" s="39" t="n">
        <f aca="false">-M36*Assumptions!$C$87</f>
        <v>46</v>
      </c>
    </row>
    <row r="38" customFormat="false" ht="15" hidden="false" customHeight="false" outlineLevel="0" collapsed="false">
      <c r="B38" s="19" t="s">
        <v>235</v>
      </c>
      <c r="D38" s="39" t="n">
        <f aca="false">Assumptions!$C$109/(Assumptions!$C$112-Assumptions!$C$111+1)</f>
        <v>0</v>
      </c>
      <c r="E38" s="39" t="n">
        <f aca="false">Assumptions!$C$109/(Assumptions!$C$112-Assumptions!$C$111+1)</f>
        <v>0</v>
      </c>
      <c r="F38" s="39" t="n">
        <f aca="false">Assumptions!$C$109/(Assumptions!$C$112-Assumptions!$C$111+1)</f>
        <v>0</v>
      </c>
      <c r="G38" s="39" t="n">
        <f aca="false">Assumptions!$C$109/(Assumptions!$C$112-Assumptions!$C$111+1)</f>
        <v>0</v>
      </c>
      <c r="H38" s="39" t="n">
        <f aca="false">Assumptions!$C$109/(Assumptions!$C$112-Assumptions!$C$111+1)</f>
        <v>0</v>
      </c>
      <c r="I38" s="39" t="n">
        <f aca="false">Assumptions!$C$109/(Assumptions!$C$112-Assumptions!$C$111+1)</f>
        <v>0</v>
      </c>
      <c r="J38" s="39" t="n">
        <f aca="false">Assumptions!$C$109/(Assumptions!$C$112-Assumptions!$C$111+1)</f>
        <v>0</v>
      </c>
      <c r="K38" s="39" t="n">
        <f aca="false">Assumptions!$C$109/(Assumptions!$C$112-Assumptions!$C$111+1)</f>
        <v>0</v>
      </c>
      <c r="L38" s="39" t="n">
        <f aca="false">Assumptions!$C$109/(Assumptions!$C$112-Assumptions!$C$111+1)</f>
        <v>0</v>
      </c>
      <c r="M38" s="39" t="n">
        <f aca="false">Assumptions!$C$109/(Assumptions!$C$112-Assumptions!$C$111+1)</f>
        <v>0</v>
      </c>
    </row>
    <row r="39" customFormat="false" ht="15" hidden="false" customHeight="false" outlineLevel="0" collapsed="false">
      <c r="B39" s="19" t="s">
        <v>236</v>
      </c>
      <c r="D39" s="39" t="n">
        <f aca="false">MAX(0,Assumptions!$C$109-D38*MAX(0,MIN((2026)-Assumptions!$C$111,Assumptions!$C$112-Assumptions!$C$111+1)))</f>
        <v>0</v>
      </c>
      <c r="E39" s="39" t="n">
        <f aca="false">MAX(0,Assumptions!$C$109-E38*MAX(0,MIN((2027)-Assumptions!$C$111,Assumptions!$C$112-Assumptions!$C$111+1)))</f>
        <v>0</v>
      </c>
      <c r="F39" s="39" t="n">
        <f aca="false">MAX(0,Assumptions!$C$109-F38*MAX(0,MIN((2028)-Assumptions!$C$111,Assumptions!$C$112-Assumptions!$C$111+1)))</f>
        <v>0</v>
      </c>
      <c r="G39" s="39" t="n">
        <f aca="false">MAX(0,Assumptions!$C$109-G38*MAX(0,MIN((2029)-Assumptions!$C$111,Assumptions!$C$112-Assumptions!$C$111+1)))</f>
        <v>0</v>
      </c>
      <c r="H39" s="39" t="n">
        <f aca="false">MAX(0,Assumptions!$C$109-H38*MAX(0,MIN((2030)-Assumptions!$C$111,Assumptions!$C$112-Assumptions!$C$111+1)))</f>
        <v>0</v>
      </c>
      <c r="I39" s="39" t="n">
        <f aca="false">MAX(0,Assumptions!$C$109-I38*MAX(0,MIN((2031)-Assumptions!$C$111,Assumptions!$C$112-Assumptions!$C$111+1)))</f>
        <v>0</v>
      </c>
      <c r="J39" s="39" t="n">
        <f aca="false">MAX(0,Assumptions!$C$109-J38*MAX(0,MIN((2032)-Assumptions!$C$111,Assumptions!$C$112-Assumptions!$C$111+1)))</f>
        <v>0</v>
      </c>
      <c r="K39" s="39" t="n">
        <f aca="false">MAX(0,Assumptions!$C$109-K38*MAX(0,MIN((2033)-Assumptions!$C$111,Assumptions!$C$112-Assumptions!$C$111+1)))</f>
        <v>0</v>
      </c>
      <c r="L39" s="39" t="n">
        <f aca="false">MAX(0,Assumptions!$C$109-L38*MAX(0,MIN((2034)-Assumptions!$C$111,Assumptions!$C$112-Assumptions!$C$111+1)))</f>
        <v>0</v>
      </c>
      <c r="M39" s="39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9" t="s">
        <v>237</v>
      </c>
      <c r="D40" s="39" t="n">
        <f aca="false">-IF(AND((2026)&gt;=Assumptions!$C$111,(2026)&lt;=Assumptions!$C$112),MIN(D39,D38),0)</f>
        <v>-0</v>
      </c>
      <c r="E40" s="39" t="n">
        <f aca="false">-IF(AND((2027)&gt;=Assumptions!$C$111,(2027)&lt;=Assumptions!$C$112),MIN(E39,E38),0)</f>
        <v>-0</v>
      </c>
      <c r="F40" s="39" t="n">
        <f aca="false">-IF(AND((2028)&gt;=Assumptions!$C$111,(2028)&lt;=Assumptions!$C$112),MIN(F39,F38),0)</f>
        <v>-0</v>
      </c>
      <c r="G40" s="39" t="n">
        <f aca="false">-IF(AND((2029)&gt;=Assumptions!$C$111,(2029)&lt;=Assumptions!$C$112),MIN(G39,G38),0)</f>
        <v>-0</v>
      </c>
      <c r="H40" s="39" t="n">
        <f aca="false">-IF(AND((2030)&gt;=Assumptions!$C$111,(2030)&lt;=Assumptions!$C$112),MIN(H39,H38),0)</f>
        <v>-0</v>
      </c>
      <c r="I40" s="39" t="n">
        <f aca="false">-IF(AND((2031)&gt;=Assumptions!$C$111,(2031)&lt;=Assumptions!$C$112),MIN(I39,I38),0)</f>
        <v>-0</v>
      </c>
      <c r="J40" s="39" t="n">
        <f aca="false">-IF(AND((2032)&gt;=Assumptions!$C$111,(2032)&lt;=Assumptions!$C$112),MIN(J39,J38),0)</f>
        <v>-0</v>
      </c>
      <c r="K40" s="39" t="n">
        <f aca="false">-IF(AND((2033)&gt;=Assumptions!$C$111,(2033)&lt;=Assumptions!$C$112),MIN(K39,K38),0)</f>
        <v>-0</v>
      </c>
      <c r="L40" s="39" t="n">
        <f aca="false">-IF(AND((2034)&gt;=Assumptions!$C$111,(2034)&lt;=Assumptions!$C$112),MIN(L39,L38),0)</f>
        <v>-0</v>
      </c>
      <c r="M40" s="39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2" t="s">
        <v>238</v>
      </c>
      <c r="D41" s="39" t="n">
        <f aca="false">-D39*Assumptions!$C$110</f>
        <v>-0</v>
      </c>
      <c r="E41" s="39" t="n">
        <f aca="false">-E39*Assumptions!$C$110</f>
        <v>-0</v>
      </c>
      <c r="F41" s="39" t="n">
        <f aca="false">-F39*Assumptions!$C$110</f>
        <v>-0</v>
      </c>
      <c r="G41" s="39" t="n">
        <f aca="false">-G39*Assumptions!$C$110</f>
        <v>-0</v>
      </c>
      <c r="H41" s="39" t="n">
        <f aca="false">-H39*Assumptions!$C$110</f>
        <v>-0</v>
      </c>
      <c r="I41" s="39" t="n">
        <f aca="false">-I39*Assumptions!$C$110</f>
        <v>-0</v>
      </c>
      <c r="J41" s="39" t="n">
        <f aca="false">-J39*Assumptions!$C$110</f>
        <v>-0</v>
      </c>
      <c r="K41" s="39" t="n">
        <f aca="false">-K39*Assumptions!$C$110</f>
        <v>-0</v>
      </c>
      <c r="L41" s="39" t="n">
        <f aca="false">-L39*Assumptions!$C$110</f>
        <v>-0</v>
      </c>
      <c r="M41" s="39" t="n">
        <f aca="false">-M39*Assumptions!$C$110</f>
        <v>-0</v>
      </c>
    </row>
    <row r="42" customFormat="false" ht="15" hidden="false" customHeight="false" outlineLevel="0" collapsed="false">
      <c r="B42" s="22" t="s">
        <v>239</v>
      </c>
      <c r="D42" s="39" t="n">
        <f aca="false">-Assumptions!$C$114*Assumptions!$C$101</f>
        <v>-0</v>
      </c>
      <c r="E42" s="39" t="n">
        <f aca="false">-Assumptions!$C$114*Assumptions!$C$101</f>
        <v>-0</v>
      </c>
      <c r="F42" s="39" t="n">
        <f aca="false">-Assumptions!$C$114*Assumptions!$C$101</f>
        <v>-0</v>
      </c>
      <c r="G42" s="39" t="n">
        <f aca="false">-Assumptions!$C$114*Assumptions!$C$101</f>
        <v>-0</v>
      </c>
      <c r="H42" s="39" t="n">
        <f aca="false">-Assumptions!$C$114*Assumptions!$C$101</f>
        <v>-0</v>
      </c>
      <c r="I42" s="39" t="n">
        <f aca="false">-Assumptions!$C$114*Assumptions!$C$101</f>
        <v>-0</v>
      </c>
      <c r="J42" s="39" t="n">
        <f aca="false">-Assumptions!$C$114*Assumptions!$C$101</f>
        <v>-0</v>
      </c>
      <c r="K42" s="39" t="n">
        <f aca="false">-Assumptions!$C$114*Assumptions!$C$101</f>
        <v>-0</v>
      </c>
      <c r="L42" s="39" t="n">
        <f aca="false">-Assumptions!$C$114*Assumptions!$C$101</f>
        <v>-0</v>
      </c>
      <c r="M42" s="39" t="n">
        <f aca="false">-Assumptions!$C$114*Assumptions!$C$101</f>
        <v>-0</v>
      </c>
    </row>
    <row r="43" customFormat="false" ht="15" hidden="false" customHeight="false" outlineLevel="0" collapsed="false">
      <c r="B43" s="56" t="s">
        <v>240</v>
      </c>
      <c r="D43" s="57" t="n">
        <f aca="false">D27+D36+D37+D41+D40+D42</f>
        <v>-334</v>
      </c>
      <c r="E43" s="57" t="n">
        <f aca="false">E27+E36+E37+E41+E40+E42</f>
        <v>-604</v>
      </c>
      <c r="F43" s="57" t="n">
        <f aca="false">F27+F36+F37+F41+F40+F42</f>
        <v>-255.53240172</v>
      </c>
      <c r="G43" s="57" t="n">
        <f aca="false">G27+G36+G37+G41+G40+G42</f>
        <v>487.99318796</v>
      </c>
      <c r="H43" s="57" t="n">
        <f aca="false">H27+H36+H37+H41+H40+H42</f>
        <v>635.2805695</v>
      </c>
      <c r="I43" s="57" t="n">
        <f aca="false">I27+I36+I37+I41+I40+I42</f>
        <v>514.2789139</v>
      </c>
      <c r="J43" s="57" t="n">
        <f aca="false">J27+J36+J37+J41+J40+J42</f>
        <v>293.1848617</v>
      </c>
      <c r="K43" s="57" t="n">
        <f aca="false">K27+K36+K37+K41+K40+K42</f>
        <v>7.2665094999999</v>
      </c>
      <c r="L43" s="57" t="n">
        <f aca="false">L27+L36+L37+L41+L40+L42</f>
        <v>5.35440730000016</v>
      </c>
      <c r="M43" s="57" t="n">
        <f aca="false">M27+M36+M37+M41+M40+M42</f>
        <v>3.44230510000011</v>
      </c>
    </row>
    <row r="44" customFormat="false" ht="15" hidden="false" customHeight="false" outlineLevel="0" collapsed="false">
      <c r="B44" s="22" t="s">
        <v>241</v>
      </c>
      <c r="D44" s="67" t="n">
        <f aca="false">SKOT!D19-SKOT!D15+SKOT!D32</f>
        <v>0</v>
      </c>
      <c r="E44" s="67" t="n">
        <f aca="false">SKOT!E19-SKOT!E15+SKOT!E32</f>
        <v>0</v>
      </c>
      <c r="F44" s="67" t="n">
        <f aca="false">SKOT!F19-SKOT!F15+SKOT!F32</f>
        <v>288.47988</v>
      </c>
      <c r="G44" s="67" t="n">
        <f aca="false">SKOT!G19-SKOT!G15+SKOT!G32</f>
        <v>927.554328</v>
      </c>
      <c r="H44" s="67" t="n">
        <f aca="false">SKOT!H19-SKOT!H15+SKOT!H32</f>
        <v>946.25415</v>
      </c>
      <c r="I44" s="67" t="n">
        <f aca="false">SKOT!I19-SKOT!I15+SKOT!I32</f>
        <v>785.49588</v>
      </c>
      <c r="J44" s="67" t="n">
        <f aca="false">SKOT!J19-SKOT!J15+SKOT!J32</f>
        <v>498.570390000001</v>
      </c>
      <c r="K44" s="67" t="n">
        <f aca="false">SKOT!K19-SKOT!K15+SKOT!K32</f>
        <v>211.6449</v>
      </c>
      <c r="L44" s="67" t="n">
        <f aca="false">SKOT!L19-SKOT!L15+SKOT!L32</f>
        <v>208.72566</v>
      </c>
      <c r="M44" s="67" t="n">
        <f aca="false">SKOT!M19-SKOT!M15+SKOT!M32</f>
        <v>205.80642</v>
      </c>
    </row>
    <row r="45" customFormat="false" ht="15" hidden="false" customHeight="false" outlineLevel="0" collapsed="false">
      <c r="B45" s="19" t="s">
        <v>242</v>
      </c>
      <c r="D45" s="39" t="n">
        <f aca="false">-D36-D41-D40</f>
        <v>200</v>
      </c>
      <c r="E45" s="39" t="n">
        <f aca="false">-E36-E41-E40</f>
        <v>200</v>
      </c>
      <c r="F45" s="39" t="n">
        <f aca="false">-F36-F41-F40</f>
        <v>200</v>
      </c>
      <c r="G45" s="39" t="n">
        <f aca="false">-G36-G41-G40</f>
        <v>200</v>
      </c>
      <c r="H45" s="39" t="n">
        <f aca="false">-H36-H41-H40</f>
        <v>200</v>
      </c>
      <c r="I45" s="39" t="n">
        <f aca="false">-I36-I41-I40</f>
        <v>200</v>
      </c>
      <c r="J45" s="39" t="n">
        <f aca="false">-J36-J41-J40</f>
        <v>200</v>
      </c>
      <c r="K45" s="39" t="n">
        <f aca="false">-K36-K41-K40</f>
        <v>200</v>
      </c>
      <c r="L45" s="39" t="n">
        <f aca="false">-L36-L41-L40</f>
        <v>200</v>
      </c>
      <c r="M45" s="39" t="n">
        <f aca="false">-M36-M41-M40</f>
        <v>200</v>
      </c>
    </row>
    <row r="46" customFormat="false" ht="15" hidden="false" customHeight="false" outlineLevel="0" collapsed="false">
      <c r="B46" s="22" t="s">
        <v>243</v>
      </c>
      <c r="D46" s="68" t="n">
        <f aca="false">IF(D45=0,0,D44/D45)</f>
        <v>0</v>
      </c>
      <c r="E46" s="68" t="n">
        <f aca="false">IF(E45=0,0,E44/E45)</f>
        <v>0</v>
      </c>
      <c r="F46" s="68" t="n">
        <f aca="false">IF(F45=0,0,F44/F45)</f>
        <v>1.4423994</v>
      </c>
      <c r="G46" s="68" t="n">
        <f aca="false">IF(G45=0,0,G44/G45)</f>
        <v>4.63777164</v>
      </c>
      <c r="H46" s="68" t="n">
        <f aca="false">IF(H45=0,0,H44/H45)</f>
        <v>4.73127075</v>
      </c>
      <c r="I46" s="68" t="n">
        <f aca="false">IF(I45=0,0,I44/I45)</f>
        <v>3.9274794</v>
      </c>
      <c r="J46" s="68" t="n">
        <f aca="false">IF(J45=0,0,J44/J45)</f>
        <v>2.49285195</v>
      </c>
      <c r="K46" s="68" t="n">
        <f aca="false">IF(K45=0,0,K44/K45)</f>
        <v>1.0582245</v>
      </c>
      <c r="L46" s="68" t="n">
        <f aca="false">IF(L45=0,0,L44/L45)</f>
        <v>1.0436283</v>
      </c>
      <c r="M46" s="68" t="n">
        <f aca="false">IF(M45=0,0,M44/M45)</f>
        <v>1.0290321</v>
      </c>
    </row>
    <row r="47" customFormat="false" ht="15" hidden="false" customHeight="false" outlineLevel="0" collapsed="false">
      <c r="B47" s="69" t="s">
        <v>244</v>
      </c>
      <c r="D47" s="60" t="n">
        <f aca="false">D35+D43</f>
        <v>-273.0674572</v>
      </c>
      <c r="E47" s="60" t="n">
        <f aca="false">E35+E43</f>
        <v>-481.1546146</v>
      </c>
      <c r="F47" s="60" t="n">
        <f aca="false">F35+F43</f>
        <v>70.2246658800001</v>
      </c>
      <c r="G47" s="60" t="n">
        <f aca="false">G35+G43</f>
        <v>874.43257916</v>
      </c>
      <c r="H47" s="60" t="n">
        <f aca="false">H35+H43</f>
        <v>974.4099529</v>
      </c>
      <c r="I47" s="60" t="n">
        <f aca="false">I35+I43</f>
        <v>766.8710905</v>
      </c>
      <c r="J47" s="60" t="n">
        <f aca="false">J35+J43</f>
        <v>442.0364563</v>
      </c>
      <c r="K47" s="60" t="n">
        <f aca="false">K35+K43</f>
        <v>49.8860221000001</v>
      </c>
      <c r="L47" s="60" t="n">
        <f aca="false">L35+L43</f>
        <v>46.9293379000003</v>
      </c>
      <c r="M47" s="60" t="n">
        <f aca="false">M35+M43</f>
        <v>43.9726537000002</v>
      </c>
    </row>
    <row r="48" customFormat="false" ht="15" hidden="false" customHeight="false" outlineLevel="0" collapsed="false">
      <c r="B48" s="22" t="s">
        <v>245</v>
      </c>
      <c r="D48" s="70" t="n">
        <f aca="false">1/(1+Assumptions!$C$92)^((1)-Assumptions!$C$95)</f>
        <v>0.940720868383597</v>
      </c>
      <c r="E48" s="70" t="n">
        <f aca="false">1/(1+Assumptions!$C$92)^((2)-Assumptions!$C$95)</f>
        <v>0.832496343702299</v>
      </c>
      <c r="F48" s="70" t="n">
        <f aca="false">1/(1+Assumptions!$C$92)^((3)-Assumptions!$C$95)</f>
        <v>0.736722428055132</v>
      </c>
      <c r="G48" s="70" t="n">
        <f aca="false">1/(1+Assumptions!$C$92)^((4)-Assumptions!$C$95)</f>
        <v>0.651966750491267</v>
      </c>
      <c r="H48" s="70" t="n">
        <f aca="false">1/(1+Assumptions!$C$92)^((5)-Assumptions!$C$95)</f>
        <v>0.576961726098466</v>
      </c>
      <c r="I48" s="70" t="n">
        <f aca="false">1/(1+Assumptions!$C$92)^((6)-Assumptions!$C$95)</f>
        <v>0.510585598317227</v>
      </c>
      <c r="J48" s="70" t="n">
        <f aca="false">1/(1+Assumptions!$C$92)^((7)-Assumptions!$C$95)</f>
        <v>0.451845662227634</v>
      </c>
      <c r="K48" s="70" t="n">
        <f aca="false">1/(1+Assumptions!$C$92)^((8)-Assumptions!$C$95)</f>
        <v>0.399863417900562</v>
      </c>
      <c r="L48" s="70" t="n">
        <f aca="false">1/(1+Assumptions!$C$92)^((9)-Assumptions!$C$95)</f>
        <v>0.353861431770408</v>
      </c>
      <c r="M48" s="70" t="n">
        <f aca="false">1/(1+Assumptions!$C$92)^((10)-Assumptions!$C$95)</f>
        <v>0.313151709531335</v>
      </c>
    </row>
    <row r="49" customFormat="false" ht="15" hidden="false" customHeight="false" outlineLevel="0" collapsed="false">
      <c r="B49" s="66" t="s">
        <v>246</v>
      </c>
      <c r="D49" s="40" t="n">
        <f aca="false">D47*D48</f>
        <v>-256.880255464485</v>
      </c>
      <c r="E49" s="40" t="n">
        <f aca="false">E47*E48</f>
        <v>-400.559457409989</v>
      </c>
      <c r="F49" s="40" t="n">
        <f aca="false">F47*F48</f>
        <v>51.736086356474</v>
      </c>
      <c r="G49" s="40" t="n">
        <f aca="false">G47*G48</f>
        <v>570.100967158643</v>
      </c>
      <c r="H49" s="40" t="n">
        <f aca="false">H47*H48</f>
        <v>562.197248352709</v>
      </c>
      <c r="I49" s="40" t="n">
        <f aca="false">I47*I48</f>
        <v>391.553334575127</v>
      </c>
      <c r="J49" s="40" t="n">
        <f aca="false">J47*J48</f>
        <v>199.73225532563</v>
      </c>
      <c r="K49" s="40" t="n">
        <f aca="false">K47*K48</f>
        <v>19.947595302369</v>
      </c>
      <c r="L49" s="40" t="n">
        <f aca="false">L47*L48</f>
        <v>16.6064827013314</v>
      </c>
      <c r="M49" s="40" t="n">
        <f aca="false">M47*M48</f>
        <v>13.7701116787844</v>
      </c>
    </row>
    <row r="50" customFormat="false" ht="15" hidden="false" customHeight="false" outlineLevel="0" collapsed="false">
      <c r="B50" s="9" t="s">
        <v>247</v>
      </c>
    </row>
    <row r="52" customFormat="false" ht="15" hidden="false" customHeight="false" outlineLevel="0" collapsed="false">
      <c r="B52" s="5" t="s">
        <v>248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B53" s="16" t="s">
        <v>172</v>
      </c>
      <c r="C53" s="17"/>
      <c r="D53" s="18" t="s">
        <v>13</v>
      </c>
      <c r="E53" s="18" t="s">
        <v>14</v>
      </c>
      <c r="F53" s="18" t="s">
        <v>15</v>
      </c>
      <c r="G53" s="18" t="s">
        <v>16</v>
      </c>
      <c r="H53" s="18" t="s">
        <v>17</v>
      </c>
      <c r="I53" s="18" t="s">
        <v>18</v>
      </c>
      <c r="J53" s="18" t="s">
        <v>19</v>
      </c>
      <c r="K53" s="18" t="s">
        <v>20</v>
      </c>
      <c r="L53" s="18" t="s">
        <v>21</v>
      </c>
      <c r="M53" s="18" t="s">
        <v>22</v>
      </c>
    </row>
    <row r="54" customFormat="false" ht="15" hidden="false" customHeight="false" outlineLevel="0" collapsed="false">
      <c r="B54" s="22" t="s">
        <v>249</v>
      </c>
      <c r="D54" s="71" t="n">
        <f aca="false">(1)-Assumptions!$C$95</f>
        <v>0.5</v>
      </c>
      <c r="E54" s="71" t="n">
        <f aca="false">(2)-Assumptions!$C$95</f>
        <v>1.5</v>
      </c>
      <c r="F54" s="71" t="n">
        <f aca="false">(3)-Assumptions!$C$95</f>
        <v>2.5</v>
      </c>
      <c r="G54" s="71" t="n">
        <f aca="false">(4)-Assumptions!$C$95</f>
        <v>3.5</v>
      </c>
      <c r="H54" s="71" t="n">
        <f aca="false">(5)-Assumptions!$C$95</f>
        <v>4.5</v>
      </c>
      <c r="I54" s="71" t="n">
        <f aca="false">(6)-Assumptions!$C$95</f>
        <v>5.5</v>
      </c>
      <c r="J54" s="71" t="n">
        <f aca="false">(7)-Assumptions!$C$95</f>
        <v>6.5</v>
      </c>
      <c r="K54" s="71" t="n">
        <f aca="false">(8)-Assumptions!$C$95</f>
        <v>7.5</v>
      </c>
      <c r="L54" s="71" t="n">
        <f aca="false">(9)-Assumptions!$C$95</f>
        <v>8.5</v>
      </c>
      <c r="M54" s="71" t="n">
        <f aca="false">(10)-Assumptions!$C$95</f>
        <v>9.5</v>
      </c>
    </row>
    <row r="55" customFormat="false" ht="15" hidden="false" customHeight="false" outlineLevel="0" collapsed="false">
      <c r="B55" s="22" t="s">
        <v>250</v>
      </c>
      <c r="D55" s="70" t="n">
        <f aca="false">1/(1+Assumptions!$C$91)^D54</f>
        <v>0.951302988308988</v>
      </c>
      <c r="E55" s="70" t="n">
        <f aca="false">1/(1+Assumptions!$C$91)^E54</f>
        <v>0.860907681727591</v>
      </c>
      <c r="F55" s="70" t="n">
        <f aca="false">1/(1+Assumptions!$C$91)^F54</f>
        <v>0.77910197441411</v>
      </c>
      <c r="G55" s="70" t="n">
        <f aca="false">1/(1+Assumptions!$C$91)^G54</f>
        <v>0.705069660103267</v>
      </c>
      <c r="H55" s="70" t="n">
        <f aca="false">1/(1+Assumptions!$C$91)^H54</f>
        <v>0.638072090591192</v>
      </c>
      <c r="I55" s="70" t="n">
        <f aca="false">1/(1+Assumptions!$C$91)^I54</f>
        <v>0.577440805964879</v>
      </c>
      <c r="J55" s="70" t="n">
        <f aca="false">1/(1+Assumptions!$C$91)^J54</f>
        <v>0.522570865126588</v>
      </c>
      <c r="K55" s="70" t="n">
        <f aca="false">1/(1+Assumptions!$C$91)^K54</f>
        <v>0.47291481006931</v>
      </c>
      <c r="L55" s="70" t="n">
        <f aca="false">1/(1+Assumptions!$C$91)^L54</f>
        <v>0.427977203682634</v>
      </c>
      <c r="M55" s="70" t="n">
        <f aca="false">1/(1+Assumptions!$C$91)^M54</f>
        <v>0.387309686590619</v>
      </c>
    </row>
    <row r="56" customFormat="false" ht="15" hidden="false" customHeight="false" outlineLevel="0" collapsed="false">
      <c r="B56" s="66" t="s">
        <v>251</v>
      </c>
      <c r="D56" s="40" t="n">
        <f aca="false">D28*D55</f>
        <v>-78.4643334977963</v>
      </c>
      <c r="E56" s="40" t="n">
        <f aca="false">E28*E55</f>
        <v>-250.152278878859</v>
      </c>
      <c r="F56" s="40" t="n">
        <f aca="false">F28*F55</f>
        <v>203.198533241453</v>
      </c>
      <c r="G56" s="40" t="n">
        <f aca="false">G28*G55</f>
        <v>750.912675400318</v>
      </c>
      <c r="H56" s="40" t="n">
        <f aca="false">H28*H55</f>
        <v>743.35175413683</v>
      </c>
      <c r="I56" s="40" t="n">
        <f aca="false">I28*I55</f>
        <v>552.875111607552</v>
      </c>
      <c r="J56" s="40" t="n">
        <f aca="false">J28*J55</f>
        <v>330.590351701174</v>
      </c>
      <c r="K56" s="40" t="n">
        <f aca="false">K28*K55</f>
        <v>113.72304076155</v>
      </c>
      <c r="L56" s="40" t="n">
        <f aca="false">L28*L55</f>
        <v>101.65138553364</v>
      </c>
      <c r="M56" s="40" t="n">
        <f aca="false">M28*M55</f>
        <v>90.8470516719921</v>
      </c>
    </row>
    <row r="58" customFormat="false" ht="15" hidden="false" customHeight="false" outlineLevel="0" collapsed="false">
      <c r="B58" s="72" t="s">
        <v>252</v>
      </c>
      <c r="C58" s="6"/>
      <c r="D58" s="6"/>
      <c r="E58" s="6"/>
    </row>
    <row r="59" customFormat="false" ht="15" hidden="false" customHeight="false" outlineLevel="0" collapsed="false">
      <c r="B59" s="22" t="s">
        <v>253</v>
      </c>
      <c r="D59" s="39" t="n">
        <f aca="false">SUM(D56:M56)</f>
        <v>2558.53329167785</v>
      </c>
    </row>
    <row r="60" customFormat="false" ht="15" hidden="false" customHeight="false" outlineLevel="0" collapsed="false">
      <c r="B60" s="22" t="s">
        <v>254</v>
      </c>
      <c r="D60" s="39" t="n">
        <f aca="false">M28*(1+Assumptions!$C$93)/(Assumptions!$C$91-Assumptions!$C$93)</f>
        <v>2814.7104444</v>
      </c>
    </row>
    <row r="61" customFormat="false" ht="15" hidden="false" customHeight="false" outlineLevel="0" collapsed="false">
      <c r="B61" s="22" t="s">
        <v>255</v>
      </c>
      <c r="D61" s="39" t="n">
        <f aca="false">D60*M55</f>
        <v>1090.16462006391</v>
      </c>
    </row>
    <row r="62" customFormat="false" ht="15" hidden="false" customHeight="false" outlineLevel="0" collapsed="false">
      <c r="B62" s="73" t="s">
        <v>256</v>
      </c>
      <c r="D62" s="74" t="n">
        <f aca="false">D59+D61</f>
        <v>3648.69791174176</v>
      </c>
    </row>
    <row r="63" customFormat="false" ht="15" hidden="false" customHeight="false" outlineLevel="0" collapsed="false">
      <c r="B63" s="22" t="s">
        <v>257</v>
      </c>
      <c r="D63" s="39" t="n">
        <f aca="false">-Assumptions!$C$94</f>
        <v>-6400</v>
      </c>
    </row>
    <row r="64" customFormat="false" ht="15" hidden="false" customHeight="false" outlineLevel="0" collapsed="false">
      <c r="B64" s="72" t="s">
        <v>258</v>
      </c>
      <c r="D64" s="75" t="n">
        <f aca="false">D62-Assumptions!$C$94</f>
        <v>-2751.30208825824</v>
      </c>
    </row>
    <row r="66" customFormat="false" ht="15" hidden="false" customHeight="false" outlineLevel="0" collapsed="false">
      <c r="B66" s="3" t="s">
        <v>259</v>
      </c>
      <c r="D66" s="76" t="n">
        <f aca="false">D61/D62</f>
        <v>0.298781824758822</v>
      </c>
    </row>
    <row r="68" customFormat="false" ht="15" hidden="false" customHeight="false" outlineLevel="0" collapsed="false">
      <c r="B68" s="72" t="s">
        <v>260</v>
      </c>
      <c r="C68" s="6"/>
      <c r="D68" s="6"/>
      <c r="E68" s="6"/>
    </row>
    <row r="69" customFormat="false" ht="15" hidden="false" customHeight="false" outlineLevel="0" collapsed="false">
      <c r="B69" s="22" t="s">
        <v>261</v>
      </c>
      <c r="D69" s="39" t="n">
        <f aca="false">SUM(D49:M49)</f>
        <v>1168.20436857659</v>
      </c>
    </row>
    <row r="70" customFormat="false" ht="15" hidden="false" customHeight="false" outlineLevel="0" collapsed="false">
      <c r="B70" s="22" t="s">
        <v>262</v>
      </c>
      <c r="D70" s="39" t="n">
        <f aca="false">M47*(1+Assumptions!$C$93)/(Assumptions!$C$92-Assumptions!$C$93)</f>
        <v>407.746425218184</v>
      </c>
    </row>
    <row r="71" customFormat="false" ht="15" hidden="false" customHeight="false" outlineLevel="0" collapsed="false">
      <c r="B71" s="22" t="s">
        <v>263</v>
      </c>
      <c r="D71" s="39" t="n">
        <f aca="false">D70*1/(1+Assumptions!$C$92)^((10)-Assumptions!$C$95)</f>
        <v>127.686490112365</v>
      </c>
    </row>
    <row r="72" customFormat="false" ht="15" hidden="false" customHeight="false" outlineLevel="0" collapsed="false">
      <c r="B72" s="73" t="s">
        <v>264</v>
      </c>
      <c r="D72" s="74" t="n">
        <f aca="false">D69+D71</f>
        <v>1295.89085868896</v>
      </c>
    </row>
    <row r="73" customFormat="false" ht="15" hidden="false" customHeight="false" outlineLevel="0" collapsed="false">
      <c r="B73" s="3" t="s">
        <v>265</v>
      </c>
      <c r="D73" s="77" t="n">
        <f aca="false">D64</f>
        <v>-2751.30208825824</v>
      </c>
    </row>
    <row r="74" customFormat="false" ht="15" hidden="false" customHeight="false" outlineLevel="0" collapsed="false">
      <c r="B74" s="52" t="s">
        <v>266</v>
      </c>
    </row>
    <row r="76" customFormat="false" ht="15" hidden="false" customHeight="false" outlineLevel="0" collapsed="false">
      <c r="B76" s="44" t="s">
        <v>267</v>
      </c>
      <c r="C76" s="45"/>
      <c r="D76" s="45"/>
      <c r="E76" s="45"/>
    </row>
    <row r="77" customFormat="false" ht="15" hidden="false" customHeight="false" outlineLevel="0" collapsed="false">
      <c r="B77" s="22" t="s">
        <v>268</v>
      </c>
      <c r="D77" s="67" t="n">
        <f aca="false">Assumptions!$C$119</f>
        <v>2000</v>
      </c>
    </row>
    <row r="78" customFormat="false" ht="15" hidden="false" customHeight="false" outlineLevel="0" collapsed="false">
      <c r="B78" s="22" t="s">
        <v>269</v>
      </c>
      <c r="D78" s="67" t="n">
        <f aca="false">Assumptions!$C$120</f>
        <v>3000</v>
      </c>
    </row>
    <row r="79" customFormat="false" ht="15" hidden="false" customHeight="false" outlineLevel="0" collapsed="false">
      <c r="B79" s="78" t="s">
        <v>270</v>
      </c>
      <c r="D79" s="79" t="n">
        <f aca="false">Assumptions!$C$119+Assumptions!$C$120</f>
        <v>5000</v>
      </c>
    </row>
    <row r="80" customFormat="false" ht="15" hidden="false" customHeight="false" outlineLevel="0" collapsed="false">
      <c r="B80" s="66" t="s">
        <v>271</v>
      </c>
      <c r="D80" s="80" t="n">
        <f aca="false">D64</f>
        <v>-2751.30208825824</v>
      </c>
    </row>
    <row r="81" customFormat="false" ht="15" hidden="false" customHeight="false" outlineLevel="0" collapsed="false">
      <c r="B81" s="54" t="s">
        <v>272</v>
      </c>
      <c r="D81" s="77" t="n">
        <f aca="false">(Assumptions!$C$119+Assumptions!$C$120)-D64</f>
        <v>7751.30208825824</v>
      </c>
    </row>
    <row r="82" customFormat="false" ht="15" hidden="false" customHeight="false" outlineLevel="0" collapsed="false">
      <c r="B82" s="52" t="s">
        <v>273</v>
      </c>
    </row>
    <row r="83" customFormat="false" ht="15" hidden="false" customHeight="false" outlineLevel="0" collapsed="false">
      <c r="B83" s="9" t="s">
        <v>274</v>
      </c>
    </row>
    <row r="85" customFormat="false" ht="15" hidden="false" customHeight="false" outlineLevel="0" collapsed="false">
      <c r="B85" s="5" t="s">
        <v>275</v>
      </c>
      <c r="C85" s="6"/>
      <c r="D85" s="6"/>
      <c r="E85" s="6"/>
    </row>
    <row r="86" customFormat="false" ht="15" hidden="false" customHeight="false" outlineLevel="0" collapsed="false">
      <c r="B86" s="22" t="s">
        <v>276</v>
      </c>
      <c r="D86" s="67" t="n">
        <f aca="false">G21</f>
        <v>346.049892</v>
      </c>
    </row>
    <row r="87" customFormat="false" ht="15" hidden="false" customHeight="false" outlineLevel="0" collapsed="false">
      <c r="B87" s="22" t="s">
        <v>277</v>
      </c>
      <c r="D87" s="67" t="n">
        <f aca="false">AVERAGE(H21:J21)</f>
        <v>438.200776666667</v>
      </c>
    </row>
    <row r="88" customFormat="false" ht="15" hidden="false" customHeight="false" outlineLevel="0" collapsed="false">
      <c r="B88" s="81" t="s">
        <v>278</v>
      </c>
      <c r="D88" s="82" t="n">
        <v>8</v>
      </c>
      <c r="E88" s="82" t="n">
        <v>11</v>
      </c>
      <c r="F88" s="82" t="n">
        <v>14</v>
      </c>
    </row>
    <row r="89" customFormat="false" ht="15" hidden="false" customHeight="false" outlineLevel="0" collapsed="false">
      <c r="G89" s="9" t="s">
        <v>279</v>
      </c>
    </row>
    <row r="90" customFormat="false" ht="15" hidden="false" customHeight="false" outlineLevel="0" collapsed="false">
      <c r="B90" s="83" t="s">
        <v>280</v>
      </c>
      <c r="D90" s="80" t="n">
        <f aca="false">$D$86*D88</f>
        <v>2768.399136</v>
      </c>
      <c r="E90" s="80" t="n">
        <f aca="false">$D$86*E88</f>
        <v>3806.548812</v>
      </c>
      <c r="F90" s="80" t="n">
        <f aca="false">$D$86*F88</f>
        <v>4844.698488</v>
      </c>
    </row>
    <row r="91" customFormat="false" ht="15" hidden="false" customHeight="false" outlineLevel="0" collapsed="false">
      <c r="B91" s="83" t="s">
        <v>281</v>
      </c>
      <c r="D91" s="80" t="n">
        <f aca="false">$D$87*D88</f>
        <v>3505.60621333333</v>
      </c>
      <c r="E91" s="80" t="n">
        <f aca="false">$D$87*E88</f>
        <v>4820.20854333334</v>
      </c>
      <c r="F91" s="80" t="n">
        <f aca="false">$D$87*F88</f>
        <v>6134.81087333334</v>
      </c>
    </row>
    <row r="92" customFormat="false" ht="15" hidden="false" customHeight="false" outlineLevel="0" collapsed="false">
      <c r="B92" s="3" t="s">
        <v>282</v>
      </c>
      <c r="D92" s="77" t="n">
        <f aca="false">D62</f>
        <v>3648.69791174176</v>
      </c>
    </row>
    <row r="93" customFormat="false" ht="15" hidden="false" customHeight="false" outlineLevel="0" collapsed="false">
      <c r="B93" s="52" t="s">
        <v>283</v>
      </c>
    </row>
    <row r="94" customFormat="false" ht="15" hidden="false" customHeight="false" outlineLevel="0" collapsed="false">
      <c r="B94" s="9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9" min="3" style="1" width="12"/>
  </cols>
  <sheetData>
    <row r="1" customFormat="false" ht="20.1" hidden="false" customHeight="false" outlineLevel="0" collapsed="false">
      <c r="B1" s="2" t="s">
        <v>285</v>
      </c>
    </row>
    <row r="2" customFormat="false" ht="15" hidden="false" customHeight="false" outlineLevel="0" collapsed="false">
      <c r="B2" s="54" t="s">
        <v>286</v>
      </c>
    </row>
    <row r="4" customFormat="false" ht="15" hidden="false" customHeight="false" outlineLevel="0" collapsed="false">
      <c r="B4" s="5" t="s">
        <v>287</v>
      </c>
      <c r="C4" s="6"/>
      <c r="D4" s="6"/>
      <c r="E4" s="6"/>
      <c r="F4" s="6"/>
      <c r="G4" s="6"/>
      <c r="H4" s="6"/>
      <c r="I4" s="6"/>
    </row>
    <row r="5" customFormat="false" ht="15" hidden="false" customHeight="false" outlineLevel="0" collapsed="false">
      <c r="B5" s="22" t="s">
        <v>288</v>
      </c>
      <c r="D5" s="39" t="n">
        <f aca="false">Consolidated!D87</f>
        <v>438.200776666667</v>
      </c>
    </row>
    <row r="6" customFormat="false" ht="15" hidden="false" customHeight="false" outlineLevel="0" collapsed="false">
      <c r="B6" s="22" t="s">
        <v>289</v>
      </c>
      <c r="D6" s="39" t="n">
        <f aca="false">Consolidated!D86</f>
        <v>346.049892</v>
      </c>
    </row>
    <row r="7" customFormat="false" ht="15" hidden="false" customHeight="false" outlineLevel="0" collapsed="false">
      <c r="B7" s="22" t="s">
        <v>290</v>
      </c>
      <c r="D7" s="39" t="n">
        <f aca="false">AVERAGE(Consolidated!H8:J8)</f>
        <v>4868.28233333333</v>
      </c>
    </row>
    <row r="8" customFormat="false" ht="15" hidden="false" customHeight="false" outlineLevel="0" collapsed="false">
      <c r="B8" s="66" t="s">
        <v>291</v>
      </c>
      <c r="D8" s="40" t="n">
        <f aca="false">Consolidated!D62</f>
        <v>3648.69791174176</v>
      </c>
    </row>
    <row r="9" customFormat="false" ht="15" hidden="false" customHeight="false" outlineLevel="0" collapsed="false">
      <c r="B9" s="19" t="s">
        <v>292</v>
      </c>
      <c r="D9" s="39" t="n">
        <f aca="false">Assumptions!$C$94</f>
        <v>6400</v>
      </c>
    </row>
    <row r="10" customFormat="false" ht="15" hidden="false" customHeight="false" outlineLevel="0" collapsed="false">
      <c r="B10" s="66" t="s">
        <v>293</v>
      </c>
      <c r="D10" s="84" t="n">
        <f aca="false">D8/D5</f>
        <v>8.32654368962306</v>
      </c>
    </row>
    <row r="11" customFormat="false" ht="15" hidden="false" customHeight="false" outlineLevel="0" collapsed="false">
      <c r="B11" s="85" t="s">
        <v>294</v>
      </c>
      <c r="D11" s="86" t="n">
        <f aca="false">D8/D6</f>
        <v>10.543849300614</v>
      </c>
    </row>
    <row r="13" customFormat="false" ht="15" hidden="false" customHeight="false" outlineLevel="0" collapsed="false">
      <c r="B13" s="5" t="s">
        <v>295</v>
      </c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B14" s="87" t="s">
        <v>296</v>
      </c>
      <c r="D14" s="88" t="s">
        <v>297</v>
      </c>
      <c r="E14" s="89" t="s">
        <v>298</v>
      </c>
    </row>
    <row r="15" customFormat="false" ht="15" hidden="false" customHeight="false" outlineLevel="0" collapsed="false">
      <c r="B15" s="22" t="s">
        <v>299</v>
      </c>
      <c r="D15" s="90" t="n">
        <v>19</v>
      </c>
      <c r="E15" s="11" t="s">
        <v>300</v>
      </c>
    </row>
    <row r="16" customFormat="false" ht="15" hidden="false" customHeight="false" outlineLevel="0" collapsed="false">
      <c r="B16" s="22" t="s">
        <v>301</v>
      </c>
      <c r="D16" s="90" t="n">
        <v>13</v>
      </c>
      <c r="E16" s="11" t="s">
        <v>302</v>
      </c>
    </row>
    <row r="17" customFormat="false" ht="15" hidden="false" customHeight="false" outlineLevel="0" collapsed="false">
      <c r="B17" s="19" t="s">
        <v>303</v>
      </c>
      <c r="D17" s="91" t="s">
        <v>304</v>
      </c>
      <c r="E17" s="11" t="s">
        <v>305</v>
      </c>
    </row>
    <row r="18" customFormat="false" ht="15" hidden="false" customHeight="false" outlineLevel="0" collapsed="false">
      <c r="B18" s="22" t="s">
        <v>306</v>
      </c>
      <c r="D18" s="91" t="s">
        <v>304</v>
      </c>
      <c r="E18" s="11" t="s">
        <v>307</v>
      </c>
    </row>
    <row r="19" customFormat="false" ht="15" hidden="false" customHeight="false" outlineLevel="0" collapsed="false">
      <c r="B19" s="22" t="s">
        <v>308</v>
      </c>
      <c r="D19" s="91" t="s">
        <v>304</v>
      </c>
      <c r="E19" s="9" t="s">
        <v>309</v>
      </c>
    </row>
    <row r="20" customFormat="false" ht="15" hidden="false" customHeight="false" outlineLevel="0" collapsed="false">
      <c r="B20" s="19" t="s">
        <v>310</v>
      </c>
      <c r="D20" s="90" t="n">
        <v>13</v>
      </c>
      <c r="E20" s="11" t="s">
        <v>311</v>
      </c>
    </row>
    <row r="21" customFormat="false" ht="15" hidden="false" customHeight="false" outlineLevel="0" collapsed="false">
      <c r="B21" s="19" t="s">
        <v>312</v>
      </c>
      <c r="D21" s="90" t="n">
        <v>15</v>
      </c>
      <c r="E21" s="11" t="s">
        <v>313</v>
      </c>
    </row>
    <row r="22" customFormat="false" ht="15" hidden="false" customHeight="false" outlineLevel="0" collapsed="false">
      <c r="B22" s="19" t="s">
        <v>314</v>
      </c>
      <c r="D22" s="90" t="n">
        <v>8</v>
      </c>
      <c r="E22" s="9" t="s">
        <v>315</v>
      </c>
    </row>
    <row r="23" customFormat="false" ht="15" hidden="false" customHeight="false" outlineLevel="0" collapsed="false">
      <c r="B23" s="19" t="s">
        <v>316</v>
      </c>
      <c r="D23" s="90" t="n">
        <v>13</v>
      </c>
      <c r="E23" s="9" t="s">
        <v>315</v>
      </c>
    </row>
    <row r="24" customFormat="false" ht="15" hidden="false" customHeight="false" outlineLevel="0" collapsed="false">
      <c r="B24" s="92" t="s">
        <v>317</v>
      </c>
    </row>
    <row r="25" customFormat="false" ht="15" hidden="false" customHeight="false" outlineLevel="0" collapsed="false">
      <c r="B25" s="92" t="s">
        <v>318</v>
      </c>
    </row>
    <row r="27" customFormat="false" ht="15" hidden="false" customHeight="false" outlineLevel="0" collapsed="false">
      <c r="B27" s="5" t="s">
        <v>319</v>
      </c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B28" s="87" t="s">
        <v>320</v>
      </c>
      <c r="C28" s="89" t="s">
        <v>321</v>
      </c>
      <c r="D28" s="88" t="s">
        <v>322</v>
      </c>
      <c r="E28" s="89" t="s">
        <v>323</v>
      </c>
      <c r="F28" s="88" t="s">
        <v>324</v>
      </c>
      <c r="G28" s="89" t="s">
        <v>323</v>
      </c>
    </row>
    <row r="29" customFormat="false" ht="15" hidden="false" customHeight="false" outlineLevel="0" collapsed="false">
      <c r="B29" s="22" t="s">
        <v>325</v>
      </c>
      <c r="C29" s="90" t="n">
        <v>8</v>
      </c>
      <c r="D29" s="39" t="n">
        <f aca="false">C29*$D$5</f>
        <v>3505.60621333333</v>
      </c>
      <c r="E29" s="93" t="n">
        <f aca="false">D29-$D$9</f>
        <v>-2894.39378666667</v>
      </c>
      <c r="F29" s="39" t="n">
        <f aca="false">C29*$D$6</f>
        <v>2768.399136</v>
      </c>
      <c r="G29" s="93" t="n">
        <f aca="false">F29-$D$9</f>
        <v>-3631.600864</v>
      </c>
    </row>
    <row r="30" customFormat="false" ht="15" hidden="false" customHeight="false" outlineLevel="0" collapsed="false">
      <c r="B30" s="22" t="s">
        <v>326</v>
      </c>
      <c r="C30" s="90" t="n">
        <v>10.5</v>
      </c>
      <c r="D30" s="39" t="n">
        <f aca="false">C30*$D$5</f>
        <v>4601.108155</v>
      </c>
      <c r="E30" s="93" t="n">
        <f aca="false">D30-$D$9</f>
        <v>-1798.891845</v>
      </c>
      <c r="F30" s="39" t="n">
        <f aca="false">C30*$D$6</f>
        <v>3633.523866</v>
      </c>
      <c r="G30" s="93" t="n">
        <f aca="false">F30-$D$9</f>
        <v>-2766.476134</v>
      </c>
    </row>
    <row r="31" customFormat="false" ht="15" hidden="false" customHeight="false" outlineLevel="0" collapsed="false">
      <c r="B31" s="22" t="s">
        <v>327</v>
      </c>
      <c r="C31" s="90" t="n">
        <v>13</v>
      </c>
      <c r="D31" s="39" t="n">
        <f aca="false">C31*$D$5</f>
        <v>5696.61009666667</v>
      </c>
      <c r="E31" s="67" t="n">
        <f aca="false">D31-$D$9</f>
        <v>-703.389903333332</v>
      </c>
      <c r="F31" s="39" t="n">
        <f aca="false">C31*$D$6</f>
        <v>4498.648596</v>
      </c>
      <c r="G31" s="93" t="n">
        <f aca="false">F31-$D$9</f>
        <v>-1901.351404</v>
      </c>
    </row>
    <row r="32" customFormat="false" ht="15" hidden="false" customHeight="false" outlineLevel="0" collapsed="false">
      <c r="B32" s="22" t="s">
        <v>328</v>
      </c>
      <c r="C32" s="90" t="n">
        <v>15</v>
      </c>
      <c r="D32" s="39" t="n">
        <f aca="false">C32*$D$5</f>
        <v>6573.01165</v>
      </c>
      <c r="E32" s="67" t="n">
        <f aca="false">D32-$D$9</f>
        <v>173.011650000002</v>
      </c>
      <c r="F32" s="39" t="n">
        <f aca="false">C32*$D$6</f>
        <v>5190.74838</v>
      </c>
      <c r="G32" s="67" t="n">
        <f aca="false">F32-$D$9</f>
        <v>-1209.25162</v>
      </c>
    </row>
    <row r="33" customFormat="false" ht="15" hidden="false" customHeight="false" outlineLevel="0" collapsed="false">
      <c r="B33" s="22" t="s">
        <v>329</v>
      </c>
      <c r="C33" s="90" t="n">
        <v>19</v>
      </c>
      <c r="D33" s="39" t="n">
        <f aca="false">C33*$D$5</f>
        <v>8325.81475666667</v>
      </c>
      <c r="E33" s="67" t="n">
        <f aca="false">D33-$D$9</f>
        <v>1925.81475666667</v>
      </c>
      <c r="F33" s="39" t="n">
        <f aca="false">C33*$D$6</f>
        <v>6574.947948</v>
      </c>
      <c r="G33" s="67" t="n">
        <f aca="false">F33-$D$9</f>
        <v>174.947948</v>
      </c>
    </row>
    <row r="35" customFormat="false" ht="15" hidden="false" customHeight="false" outlineLevel="0" collapsed="false">
      <c r="B35" s="5" t="s">
        <v>330</v>
      </c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B36" s="19" t="s">
        <v>331</v>
      </c>
      <c r="D36" s="20" t="n">
        <v>1218</v>
      </c>
    </row>
    <row r="37" customFormat="false" ht="15" hidden="false" customHeight="false" outlineLevel="0" collapsed="false">
      <c r="B37" s="19" t="s">
        <v>332</v>
      </c>
      <c r="D37" s="21" t="n">
        <v>0.6</v>
      </c>
    </row>
    <row r="38" customFormat="false" ht="15" hidden="false" customHeight="false" outlineLevel="0" collapsed="false">
      <c r="B38" s="87" t="s">
        <v>333</v>
      </c>
      <c r="C38" s="89" t="s">
        <v>334</v>
      </c>
      <c r="D38" s="89" t="s">
        <v>335</v>
      </c>
      <c r="E38" s="89" t="s">
        <v>336</v>
      </c>
      <c r="F38" s="89" t="s">
        <v>337</v>
      </c>
      <c r="G38" s="89" t="s">
        <v>338</v>
      </c>
      <c r="H38" s="89" t="s">
        <v>339</v>
      </c>
      <c r="I38" s="89" t="s">
        <v>340</v>
      </c>
    </row>
    <row r="39" customFormat="false" ht="15" hidden="false" customHeight="false" outlineLevel="0" collapsed="false">
      <c r="B39" s="22" t="s">
        <v>341</v>
      </c>
      <c r="C39" s="21" t="n">
        <v>0.1</v>
      </c>
      <c r="D39" s="21" t="n">
        <v>0.2</v>
      </c>
      <c r="E39" s="39" t="n">
        <f aca="false">(1-C39-$D$37)*$D$36</f>
        <v>365.4</v>
      </c>
      <c r="F39" s="39" t="n">
        <f aca="false">E39/D39</f>
        <v>1827</v>
      </c>
      <c r="G39" s="39" t="n">
        <f aca="false">F39+$D$9</f>
        <v>8227</v>
      </c>
      <c r="H39" s="84" t="n">
        <f aca="false">G39/$D$5</f>
        <v>18.774498901124</v>
      </c>
      <c r="I39" s="86" t="n">
        <f aca="false">G39/$D$6</f>
        <v>23.7740285149403</v>
      </c>
    </row>
    <row r="40" customFormat="false" ht="15" hidden="false" customHeight="false" outlineLevel="0" collapsed="false">
      <c r="B40" s="19" t="s">
        <v>342</v>
      </c>
      <c r="C40" s="21" t="n">
        <v>0.2</v>
      </c>
      <c r="D40" s="21" t="n">
        <v>0.2</v>
      </c>
      <c r="E40" s="39" t="n">
        <f aca="false">(1-C40-$D$37)*$D$36</f>
        <v>243.6</v>
      </c>
      <c r="F40" s="39" t="n">
        <f aca="false">E40/D40</f>
        <v>1218</v>
      </c>
      <c r="G40" s="39" t="n">
        <f aca="false">F40+$D$9</f>
        <v>7618</v>
      </c>
      <c r="H40" s="84" t="n">
        <f aca="false">G40/$D$5</f>
        <v>17.3847250065349</v>
      </c>
      <c r="I40" s="86" t="n">
        <f aca="false">G40/$D$6</f>
        <v>22.0141666739778</v>
      </c>
    </row>
    <row r="41" customFormat="false" ht="15" hidden="false" customHeight="false" outlineLevel="0" collapsed="false">
      <c r="B41" s="19" t="s">
        <v>343</v>
      </c>
      <c r="C41" s="21" t="n">
        <v>0.1</v>
      </c>
      <c r="D41" s="21" t="n">
        <v>0.3</v>
      </c>
      <c r="E41" s="39" t="n">
        <f aca="false">(1-C41-$D$37)*$D$36</f>
        <v>365.4</v>
      </c>
      <c r="F41" s="39" t="n">
        <f aca="false">E41/D41</f>
        <v>1218</v>
      </c>
      <c r="G41" s="39" t="n">
        <f aca="false">F41+$D$9</f>
        <v>7618</v>
      </c>
      <c r="H41" s="84" t="n">
        <f aca="false">G41/$D$5</f>
        <v>17.3847250065349</v>
      </c>
      <c r="I41" s="86" t="n">
        <f aca="false">G41/$D$6</f>
        <v>22.0141666739778</v>
      </c>
    </row>
    <row r="42" customFormat="false" ht="15" hidden="false" customHeight="false" outlineLevel="0" collapsed="false">
      <c r="B42" s="19" t="s">
        <v>344</v>
      </c>
      <c r="C42" s="21" t="n">
        <v>0.1</v>
      </c>
      <c r="D42" s="21" t="n">
        <v>0.49</v>
      </c>
      <c r="E42" s="39" t="n">
        <f aca="false">(1-C42-$D$37)*$D$36</f>
        <v>365.4</v>
      </c>
      <c r="F42" s="39" t="n">
        <f aca="false">E42/D42</f>
        <v>745.714285714286</v>
      </c>
      <c r="G42" s="39" t="n">
        <f aca="false">F42+$D$9</f>
        <v>7145.71428571429</v>
      </c>
      <c r="H42" s="84" t="n">
        <f aca="false">G42/$D$5</f>
        <v>16.3069411699147</v>
      </c>
      <c r="I42" s="86" t="n">
        <f aca="false">G42/$D$6</f>
        <v>20.6493758585374</v>
      </c>
    </row>
    <row r="43" customFormat="false" ht="15" hidden="false" customHeight="false" outlineLevel="0" collapsed="false">
      <c r="B43" s="19" t="s">
        <v>345</v>
      </c>
      <c r="C43" s="21" t="n">
        <v>0.2</v>
      </c>
      <c r="D43" s="21" t="n">
        <v>0.49</v>
      </c>
      <c r="E43" s="39" t="n">
        <f aca="false">(1-C43-$D$37)*$D$36</f>
        <v>243.6</v>
      </c>
      <c r="F43" s="39" t="n">
        <f aca="false">E43/D43</f>
        <v>497.142857142857</v>
      </c>
      <c r="G43" s="39" t="n">
        <f aca="false">F43+$D$9</f>
        <v>6897.14285714286</v>
      </c>
      <c r="H43" s="84" t="n">
        <f aca="false">G43/$D$5</f>
        <v>15.7396865190621</v>
      </c>
      <c r="I43" s="86" t="n">
        <f aca="false">G43/$D$6</f>
        <v>19.9310649030425</v>
      </c>
    </row>
    <row r="45" customFormat="false" ht="15" hidden="false" customHeight="false" outlineLevel="0" collapsed="false">
      <c r="B45" s="5" t="s">
        <v>346</v>
      </c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B46" s="19" t="s">
        <v>347</v>
      </c>
      <c r="D46" s="90" t="n">
        <v>13</v>
      </c>
    </row>
    <row r="47" customFormat="false" ht="15" hidden="false" customHeight="false" outlineLevel="0" collapsed="false">
      <c r="B47" s="87" t="s">
        <v>333</v>
      </c>
      <c r="C47" s="89" t="s">
        <v>348</v>
      </c>
    </row>
    <row r="48" customFormat="false" ht="15" hidden="false" customHeight="false" outlineLevel="0" collapsed="false">
      <c r="B48" s="22" t="s">
        <v>341</v>
      </c>
      <c r="C48" s="94" t="n">
        <f aca="false">G39/($D$46*$D$7)</f>
        <v>0.129993724791397</v>
      </c>
    </row>
    <row r="49" customFormat="false" ht="15" hidden="false" customHeight="false" outlineLevel="0" collapsed="false">
      <c r="B49" s="19" t="s">
        <v>342</v>
      </c>
      <c r="C49" s="94" t="n">
        <f aca="false">G40/($D$46*$D$7)</f>
        <v>0.120370997381897</v>
      </c>
    </row>
    <row r="50" customFormat="false" ht="15" hidden="false" customHeight="false" outlineLevel="0" collapsed="false">
      <c r="B50" s="19" t="s">
        <v>343</v>
      </c>
      <c r="C50" s="94" t="n">
        <f aca="false">G41/($D$46*$D$7)</f>
        <v>0.120370997381897</v>
      </c>
    </row>
    <row r="51" customFormat="false" ht="15" hidden="false" customHeight="false" outlineLevel="0" collapsed="false">
      <c r="B51" s="19" t="s">
        <v>344</v>
      </c>
      <c r="C51" s="94" t="n">
        <f aca="false">G42/($D$46*$D$7)</f>
        <v>0.112908474084733</v>
      </c>
    </row>
    <row r="52" customFormat="false" ht="15" hidden="false" customHeight="false" outlineLevel="0" collapsed="false">
      <c r="B52" s="19" t="s">
        <v>345</v>
      </c>
      <c r="C52" s="94" t="n">
        <f aca="false">G43/($D$46*$D$7)</f>
        <v>0.10898083024412</v>
      </c>
    </row>
    <row r="53" customFormat="false" ht="15" hidden="false" customHeight="false" outlineLevel="0" collapsed="false">
      <c r="B53" s="9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2026-07-01T12:14:49Z</dcterms:created>
  <dc:creator>openpyxl</dc:creator>
  <dc:description/>
  <dc:language>en-US</dc:language>
  <cp:lastModifiedBy/>
  <dcterms:modified xsi:type="dcterms:W3CDTF">2026-07-01T12:26:02Z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